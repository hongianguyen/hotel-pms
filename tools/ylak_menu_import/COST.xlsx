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La Carte" sheetId="1" r:id="rId5"/>
    <sheet state="visible" name="SET MENU" sheetId="2" r:id="rId6"/>
    <sheet state="visible" name="ĐỊNH LƯỢNG NHẬP MÁY PHẦN MỀM" sheetId="3" r:id="rId7"/>
  </sheets>
  <definedNames/>
  <calcPr/>
</workbook>
</file>

<file path=xl/sharedStrings.xml><?xml version="1.0" encoding="utf-8"?>
<sst xmlns="http://schemas.openxmlformats.org/spreadsheetml/2006/main" count="1868" uniqueCount="475">
  <si>
    <t>SET LUNCH 245.000/ 1 PAX ( MINIMUM 2PAX)</t>
  </si>
  <si>
    <t>ĐỊNH LƯỢNG</t>
  </si>
  <si>
    <t>MENU 2023</t>
  </si>
  <si>
    <t>Súp bí đỏ/ Pumpkin soup</t>
  </si>
  <si>
    <t>TẤT CẢ CÁC MÓN ALACART DÀNH CHO 2 PAX</t>
  </si>
  <si>
    <t>phần</t>
  </si>
  <si>
    <t xml:space="preserve">Bí đỏ </t>
  </si>
  <si>
    <t>MENU CHAY</t>
  </si>
  <si>
    <t>kg</t>
  </si>
  <si>
    <t>KHÁCH THAM QUAN 25.000/ 1 KHÁCH</t>
  </si>
  <si>
    <t>SOUP BÍ ĐỎ</t>
  </si>
  <si>
    <t xml:space="preserve">Kem sữa tươi </t>
  </si>
  <si>
    <t>SET 1</t>
  </si>
  <si>
    <t>lít</t>
  </si>
  <si>
    <t>GIÁ BÁN ĐỀ XUẤT</t>
  </si>
  <si>
    <t>Salad rau xanh/ Salad</t>
  </si>
  <si>
    <t>Salad</t>
  </si>
  <si>
    <t>% COST</t>
  </si>
  <si>
    <t>Cà chua</t>
  </si>
  <si>
    <t>GIÁ DUYỆT</t>
  </si>
  <si>
    <t xml:space="preserve">Dưa leo </t>
  </si>
  <si>
    <t>Bí đỏ</t>
  </si>
  <si>
    <t>Gỏi cuốn vườn Lak/ Fresh Spring rolls</t>
  </si>
  <si>
    <t>Kg</t>
  </si>
  <si>
    <t xml:space="preserve">Tôm biển </t>
  </si>
  <si>
    <t xml:space="preserve">Thịt ba chỉ heo </t>
  </si>
  <si>
    <t>Chả Giò/ Fried Spring rolls</t>
  </si>
  <si>
    <t xml:space="preserve">Thịt heo xay </t>
  </si>
  <si>
    <t>Gỏi gà hoa chuối/ Banana flower salad</t>
  </si>
  <si>
    <t>Hoa chuối</t>
  </si>
  <si>
    <t>SET 2</t>
  </si>
  <si>
    <t xml:space="preserve">Gà nguyên con </t>
  </si>
  <si>
    <t>GỎI GÀ HOA CHUỐI</t>
  </si>
  <si>
    <t>Gỏi ngó sen tôm thịt/Lotus roots salad</t>
  </si>
  <si>
    <t xml:space="preserve">Ngó sen </t>
  </si>
  <si>
    <t>GỎI ĐU ĐỦ TÔM THỊT</t>
  </si>
  <si>
    <t>Bánh phồng tôm</t>
  </si>
  <si>
    <t>Gỏi đu đủ tôm thịt/ Papaya salad</t>
  </si>
  <si>
    <t xml:space="preserve">Đu đủ </t>
  </si>
  <si>
    <t>Chi phí khác (dầu ăn, gia vị, gas)</t>
  </si>
  <si>
    <t>Gỏi rau muống tép ram/ Morning glory salad</t>
  </si>
  <si>
    <t xml:space="preserve">Rau muống </t>
  </si>
  <si>
    <t xml:space="preserve">Tép </t>
  </si>
  <si>
    <t>Chanh trái</t>
  </si>
  <si>
    <t>Cá rô phi chiên ăn kèm mắm xoài/ Crispy Tilapia</t>
  </si>
  <si>
    <t xml:space="preserve">Cá rô phi </t>
  </si>
  <si>
    <t>Thịt ba chỉ heo</t>
  </si>
  <si>
    <t xml:space="preserve">Xoài xanh </t>
  </si>
  <si>
    <t>Gà nguyên con</t>
  </si>
  <si>
    <t>Cá diêu hồng sốt chanh dây/ Red Tilapia with pasionfruit</t>
  </si>
  <si>
    <t>Cá Diêu hồng</t>
  </si>
  <si>
    <t>TỔNG</t>
  </si>
  <si>
    <t>Đu đủ</t>
  </si>
  <si>
    <t xml:space="preserve">Chanh dây </t>
  </si>
  <si>
    <t>Tép Hồ Lak ram/ Caramelized Lak Shrimp</t>
  </si>
  <si>
    <t xml:space="preserve">Cà rốt bếp </t>
  </si>
  <si>
    <t>Chả cá hồ Lak / Crispy fish cake</t>
  </si>
  <si>
    <t>Tôm</t>
  </si>
  <si>
    <t xml:space="preserve">Chả cá </t>
  </si>
  <si>
    <t>Bò nướng lá lốt/ Charcoal beef</t>
  </si>
  <si>
    <t xml:space="preserve">Thịt bò xay </t>
  </si>
  <si>
    <t>Cá diêu hồng nướng giấy bạc/ Grilled Red Tilapia</t>
  </si>
  <si>
    <t>Heo nướng ống tre / Charcoal pork in bamboo</t>
  </si>
  <si>
    <t xml:space="preserve">ỐNG CƠM LAM </t>
  </si>
  <si>
    <t>ống</t>
  </si>
  <si>
    <t>CHẢ GIÒ CHAY</t>
  </si>
  <si>
    <t xml:space="preserve">Ống tre </t>
  </si>
  <si>
    <t xml:space="preserve">Chanh trái bếp </t>
  </si>
  <si>
    <t xml:space="preserve">Gạo nếp </t>
  </si>
  <si>
    <t>Cá lăng ướp nghệ nướng/ Charcoal Hemibagrus</t>
  </si>
  <si>
    <t xml:space="preserve">Cá Lăng </t>
  </si>
  <si>
    <t>Sườn nường BBQ/ BBQ pork ribs</t>
  </si>
  <si>
    <t>dđậu khuôn</t>
  </si>
  <si>
    <t xml:space="preserve">sườn heo </t>
  </si>
  <si>
    <t>miếng</t>
  </si>
  <si>
    <t>TÉP HỒ LAK RAM KHẾ</t>
  </si>
  <si>
    <t>HEO ĐỒNG BÀO XÀO LĂN</t>
  </si>
  <si>
    <t>Gà nướng / Charcoal Chicken</t>
  </si>
  <si>
    <t>Cà rốt</t>
  </si>
  <si>
    <t>Tép hồ</t>
  </si>
  <si>
    <t>Khoai môn</t>
  </si>
  <si>
    <t>Vịt quay/ Roast Duck</t>
  </si>
  <si>
    <t>con</t>
  </si>
  <si>
    <t>Vịt nguyên con</t>
  </si>
  <si>
    <t>Thịt ba chỉ</t>
  </si>
  <si>
    <t>Bánh bía</t>
  </si>
  <si>
    <t>Xấp</t>
  </si>
  <si>
    <t>Đậu hủ sốt cà chua/ Tofu with tomamo</t>
  </si>
  <si>
    <t xml:space="preserve">Đậu khuôn </t>
  </si>
  <si>
    <t>Đậu hủ sốt sả/ Tofu with lemongrass</t>
  </si>
  <si>
    <t>Cà tím kho tộ/ Caramelized Eggplant</t>
  </si>
  <si>
    <t xml:space="preserve">Cà tím </t>
  </si>
  <si>
    <t>Cà tím nướng mỡ hành/ Charcoal Eggplant</t>
  </si>
  <si>
    <t>Cá bông lau kho tộ/ Caramelized Catfish</t>
  </si>
  <si>
    <t xml:space="preserve">Cá Bông Lau </t>
  </si>
  <si>
    <t>Thịt heo kho tộ/ Caramelized pork</t>
  </si>
  <si>
    <t xml:space="preserve">Thịt nạc heo </t>
  </si>
  <si>
    <t>Tôm kho tộ/ Caramelized shrimp</t>
  </si>
  <si>
    <t>Cá bống kho tiêu/ Caramelized Gobies</t>
  </si>
  <si>
    <t xml:space="preserve">Cá bống </t>
  </si>
  <si>
    <t>Cá lăng kho tộ/ Caramelized</t>
  </si>
  <si>
    <t>SALAD RAU XANH HỖN HỢP</t>
  </si>
  <si>
    <t>Mì xào rau củ/ Sauteed noodle with vegetable</t>
  </si>
  <si>
    <t>LÁ BÉP XÀO TỎI</t>
  </si>
  <si>
    <t xml:space="preserve">Mỳ gói </t>
  </si>
  <si>
    <t>gói</t>
  </si>
  <si>
    <t>TRỨNG CHIÊN HÀNH</t>
  </si>
  <si>
    <t xml:space="preserve">Cà rốt </t>
  </si>
  <si>
    <t>Lá bép</t>
  </si>
  <si>
    <t xml:space="preserve">CẢI THẢO </t>
  </si>
  <si>
    <t xml:space="preserve">Cải ngọt </t>
  </si>
  <si>
    <t>Trứng vịt</t>
  </si>
  <si>
    <t>quả</t>
  </si>
  <si>
    <t>Mì xào bò/ Sauteed Noodle with beef</t>
  </si>
  <si>
    <t xml:space="preserve">Thịt bò thăn </t>
  </si>
  <si>
    <t>Dưa leo</t>
  </si>
  <si>
    <t>Cơm chiên rau củ hạt sen/ Fried rice with vegetable</t>
  </si>
  <si>
    <t xml:space="preserve">Gạo </t>
  </si>
  <si>
    <t xml:space="preserve">Hạt sen </t>
  </si>
  <si>
    <t>Mỳ Ý sốt cà chua/ Spaghetti with tomato</t>
  </si>
  <si>
    <t>CANH ĐU ĐỦ NẤU GÀ</t>
  </si>
  <si>
    <t xml:space="preserve">Mỳ Ý </t>
  </si>
  <si>
    <t>Mỳ ý sốt bò bằm/ Spaghetti bolognaise</t>
  </si>
  <si>
    <t>CANH CÀ ĐẮNG CÁ CƠM</t>
  </si>
  <si>
    <t>Bò lúc lắc + Khoai tây chiên/ Wok fried beef</t>
  </si>
  <si>
    <t xml:space="preserve">Thịt bò Úc </t>
  </si>
  <si>
    <t xml:space="preserve">Khoai tây Siêu Thị </t>
  </si>
  <si>
    <t xml:space="preserve"> Cá cơm</t>
  </si>
  <si>
    <t>Bò beefsteak + Khoai tây chiên/ Beefsteak</t>
  </si>
  <si>
    <t>GỎI ĐU ĐỦ CHAY</t>
  </si>
  <si>
    <t>Club sandwich gà/ Club Sandwich</t>
  </si>
  <si>
    <t xml:space="preserve">bánh mỳ san wich </t>
  </si>
  <si>
    <t>cây</t>
  </si>
  <si>
    <t>gà nguyên con</t>
  </si>
  <si>
    <t>3 lát</t>
  </si>
  <si>
    <t>Lá bép xào tỏi/ Sauteed "bep' leaf</t>
  </si>
  <si>
    <t xml:space="preserve">Lá Bép </t>
  </si>
  <si>
    <t>Đậu khuôn</t>
  </si>
  <si>
    <t>Cà đắng</t>
  </si>
  <si>
    <t>Lá bép xào cá hộp / Sauteed "bep' leaf with fish</t>
  </si>
  <si>
    <t xml:space="preserve">Cá hộp </t>
  </si>
  <si>
    <t>hộp</t>
  </si>
  <si>
    <t>Rau muống xào tỏi/ Sauteed morning glory</t>
  </si>
  <si>
    <t>Tổng</t>
  </si>
  <si>
    <t>Rau củ xào thập cẩm/ Sauteed mix  vegetable</t>
  </si>
  <si>
    <t>CƠM TRẮNG</t>
  </si>
  <si>
    <t>Gạo</t>
  </si>
  <si>
    <t>Rau rừng xào tỏi/ Sauteed wild vegetable</t>
  </si>
  <si>
    <t xml:space="preserve">Rau rừng </t>
  </si>
  <si>
    <t>Rau rừng luộc kho quẹt/ Steamed wild vegetable</t>
  </si>
  <si>
    <t xml:space="preserve">Tôm khô </t>
  </si>
  <si>
    <t>Cơm trắng/ Steamed rice</t>
  </si>
  <si>
    <t>Miến xào nồi đất/ Stir fried vermicelli</t>
  </si>
  <si>
    <t>GỎI MÍT TRỘN</t>
  </si>
  <si>
    <t xml:space="preserve">Miếng dong </t>
  </si>
  <si>
    <t>Bánh tráng mè</t>
  </si>
  <si>
    <t>cái</t>
  </si>
  <si>
    <t>CHÈ HẠT SEN</t>
  </si>
  <si>
    <t xml:space="preserve">CHÈ CHUỐI </t>
  </si>
  <si>
    <t>Cơm chiên hải sản hạt sen/ Fried rice with seafood</t>
  </si>
  <si>
    <t>Đường phèn</t>
  </si>
  <si>
    <t>Mít non</t>
  </si>
  <si>
    <t>Hạt sen</t>
  </si>
  <si>
    <t xml:space="preserve">Mực </t>
  </si>
  <si>
    <t>Cơm chiên gà xé hạt sen/ Fried rice with chicken</t>
  </si>
  <si>
    <t>Chuối móc</t>
  </si>
  <si>
    <t>Trái</t>
  </si>
  <si>
    <t>Bột bán</t>
  </si>
  <si>
    <t>Canh cải thịt bằm/ Mustard leaf soup</t>
  </si>
  <si>
    <t>Cải ngọt</t>
  </si>
  <si>
    <t>Canh gà lá giang/ Sour leaf soup with chicken</t>
  </si>
  <si>
    <t>Canh cà đắng cá cơm/ Wild eggplant soup</t>
  </si>
  <si>
    <t xml:space="preserve">Cà đắng </t>
  </si>
  <si>
    <t xml:space="preserve">Cá cơm khô </t>
  </si>
  <si>
    <t>Canh chua cá bông lau/ sour soup with fish</t>
  </si>
  <si>
    <t>Thơm</t>
  </si>
  <si>
    <t>trái</t>
  </si>
  <si>
    <t>GỎI MĂNG RỪNG</t>
  </si>
  <si>
    <t>Canh cua tập tàng/ Mixed vegetable soup</t>
  </si>
  <si>
    <t xml:space="preserve">Rau tập tàng </t>
  </si>
  <si>
    <t xml:space="preserve">Rau mồng tơi </t>
  </si>
  <si>
    <t xml:space="preserve">Cua xay </t>
  </si>
  <si>
    <t>Canh tập tàng tôm/ Mix vegetable soup</t>
  </si>
  <si>
    <t>COST FOR TWO</t>
  </si>
  <si>
    <t>Canh chua chả cá/ Sour soup with fissh</t>
  </si>
  <si>
    <t xml:space="preserve">Măng chua </t>
  </si>
  <si>
    <t>Canh chua cá lăng/ Sour soup with fish</t>
  </si>
  <si>
    <t>Lẩu cá lăng đồng/ Hot pot with fish</t>
  </si>
  <si>
    <t>COST CHO 2PAX</t>
  </si>
  <si>
    <t>ĐẬU HỦ CHIÊN SẢ</t>
  </si>
  <si>
    <t>SET DINNER 295.000/ 1 PAX ( MINIMUM 2PAX)</t>
  </si>
  <si>
    <t>Lẩu cá thác lác/ Fish sour Hot Pot</t>
  </si>
  <si>
    <t>SET  2</t>
  </si>
  <si>
    <t>GỎI CÀ ĐẮNG CÁ CƠM</t>
  </si>
  <si>
    <t>GỎI RAU MUỐNG TÉP RAM HỒ LĂK</t>
  </si>
  <si>
    <t>Tép</t>
  </si>
  <si>
    <t>Lẩu gà lá giang/ Chicken with sour leaf Hot Pot</t>
  </si>
  <si>
    <t>Hành tây</t>
  </si>
  <si>
    <t>ĐẬU HỦ NHỒI SỐT CÀ CHUA</t>
  </si>
  <si>
    <t>Rau muống</t>
  </si>
  <si>
    <t>Cá cơm khô</t>
  </si>
  <si>
    <t>Đậu phụng</t>
  </si>
  <si>
    <t>Hoa chuối &amp; giá</t>
  </si>
  <si>
    <t>Chè chuối/ Sweet banana soup</t>
  </si>
  <si>
    <t>chén</t>
  </si>
  <si>
    <t>Chè hạt sen/ Sweet lotus seed soup</t>
  </si>
  <si>
    <t>Trái cây theo mùa/ Seasonal fruit</t>
  </si>
  <si>
    <t xml:space="preserve">Dưa hấu </t>
  </si>
  <si>
    <t xml:space="preserve">Thơm trái </t>
  </si>
  <si>
    <t>Thanh long</t>
  </si>
  <si>
    <t>NẤM KHO TỘ</t>
  </si>
  <si>
    <t>Bánh chuối nướng +kem/ Banana cake + ice cream</t>
  </si>
  <si>
    <t xml:space="preserve">Kem hộp Vani </t>
  </si>
  <si>
    <t>BÒ NƯỚNG LÁ LỐT</t>
  </si>
  <si>
    <t>Sữa chua / Yogurt</t>
  </si>
  <si>
    <t>hủ</t>
  </si>
  <si>
    <t>Nấm rơm</t>
  </si>
  <si>
    <t xml:space="preserve">Sữa chua có đường </t>
  </si>
  <si>
    <t>CHẢ CÁ HỒ LĂK</t>
  </si>
  <si>
    <t>Kem vanilla/ Ice cream</t>
  </si>
  <si>
    <t>Thịt bò xay</t>
  </si>
  <si>
    <t>Kem socola/ Ice cream</t>
  </si>
  <si>
    <t xml:space="preserve">Kem Hộp socola </t>
  </si>
  <si>
    <t>Cải cay</t>
  </si>
  <si>
    <t>Khoai tây chiên/ French fried</t>
  </si>
  <si>
    <t>Trứng chiên/ Offla/ Omelette/ Fried eggs</t>
  </si>
  <si>
    <t xml:space="preserve">Trứng gà </t>
  </si>
  <si>
    <t>Phở gà/ Chicken noodle soup</t>
  </si>
  <si>
    <t>tô</t>
  </si>
  <si>
    <t>Chả cá</t>
  </si>
  <si>
    <t xml:space="preserve">Phở khô </t>
  </si>
  <si>
    <t>Phở bò/ Beef noodle soup</t>
  </si>
  <si>
    <t>MÍT NON KHO RỊU</t>
  </si>
  <si>
    <t>Hủ tiếu bò/ Noodle soup with chicken</t>
  </si>
  <si>
    <t xml:space="preserve">Hủ tiếu khô </t>
  </si>
  <si>
    <t>Hủ tiếu gà/ Noodle soup with chicken</t>
  </si>
  <si>
    <t>CÁ RÔ PHI CHIÊN GIÒN CHẤM MẮM XOÀI</t>
  </si>
  <si>
    <t>THỊT HEO KHO TỘ</t>
  </si>
  <si>
    <t>Cá rô phi</t>
  </si>
  <si>
    <t>Miì gói thịt bò/ Beef noodle</t>
  </si>
  <si>
    <t>Thịt nạc heo</t>
  </si>
  <si>
    <t>Set up Bungalow</t>
  </si>
  <si>
    <t>Quýt Thái</t>
  </si>
  <si>
    <t>Xoài</t>
  </si>
  <si>
    <t>CÀ TÍM KHO TỘ</t>
  </si>
  <si>
    <t>Ổi / dưa hấu</t>
  </si>
  <si>
    <t xml:space="preserve">Nhãn </t>
  </si>
  <si>
    <t xml:space="preserve">Coke </t>
  </si>
  <si>
    <t>lon</t>
  </si>
  <si>
    <t xml:space="preserve">Fanta Orange </t>
  </si>
  <si>
    <t>Cà tím</t>
  </si>
  <si>
    <t xml:space="preserve">Soda </t>
  </si>
  <si>
    <t xml:space="preserve">Tonic </t>
  </si>
  <si>
    <t>RAU RỪNG XÀO TỎI</t>
  </si>
  <si>
    <t>RAU RỪNG LUỘC KHO QUẸT</t>
  </si>
  <si>
    <t xml:space="preserve">Bia sài gòn </t>
  </si>
  <si>
    <t>Rau rừng</t>
  </si>
  <si>
    <t>Picnic ( cho 1 pax)</t>
  </si>
  <si>
    <t>xuất</t>
  </si>
  <si>
    <t>Tôm khô</t>
  </si>
  <si>
    <t>NGŨ QUẢ LUỘC + KHO QUẸT CHAY</t>
  </si>
  <si>
    <t>Đậu bắp</t>
  </si>
  <si>
    <t>Bông cải xanh</t>
  </si>
  <si>
    <t xml:space="preserve">Bánh mỳ </t>
  </si>
  <si>
    <t>ổ</t>
  </si>
  <si>
    <t>bánh phồng tôm</t>
  </si>
  <si>
    <t>Trái cây theo mùa</t>
  </si>
  <si>
    <t>CANH TÔM TẬP TÀNG</t>
  </si>
  <si>
    <t>Nước suối</t>
  </si>
  <si>
    <t>CANH CUA TẬP TÀNG</t>
  </si>
  <si>
    <t>chai</t>
  </si>
  <si>
    <t>Rau tập tàng</t>
  </si>
  <si>
    <t>Cua xay</t>
  </si>
  <si>
    <t>Bông cải trắng</t>
  </si>
  <si>
    <t>Khoai tây</t>
  </si>
  <si>
    <t>CÀ TÍM XÀO LÁ LỐT</t>
  </si>
  <si>
    <t>Bột năng</t>
  </si>
  <si>
    <t>ĐẬU KHUÔN XÀO GIÁ &amp; RAU CỦ</t>
  </si>
  <si>
    <t>Giá</t>
  </si>
  <si>
    <t>CANH CHUA CHAY</t>
  </si>
  <si>
    <t>Thơm trái</t>
  </si>
  <si>
    <t>SET DINNER 375.000/ 1 PAX ( MINIMUM 2PAX)</t>
  </si>
  <si>
    <t>CANH BÍ ĐỎ ĐẬU PHỘNG</t>
  </si>
  <si>
    <t>Đậu phộng</t>
  </si>
  <si>
    <t>CANH LAGIM</t>
  </si>
  <si>
    <t>GÀ THẢ VƯỜN NƯỚNG + CƠM LAM</t>
  </si>
  <si>
    <t>Bí đao</t>
  </si>
  <si>
    <t>HEO NƯỚNG ỐNG TRE ĂN KÈM CƠM LAM</t>
  </si>
  <si>
    <t>Gạo nếp</t>
  </si>
  <si>
    <t>Ống tre</t>
  </si>
  <si>
    <t>Ống</t>
  </si>
  <si>
    <t>Ống cơm lam</t>
  </si>
  <si>
    <t>LẨU CHAY THẬP CẨM</t>
  </si>
  <si>
    <t>CÁ BỐNG KHO TIÊU</t>
  </si>
  <si>
    <t>LẨU GÀ LÁ GIANG/ TIỀM ỚT HIỂM</t>
  </si>
  <si>
    <t>Cá bống</t>
  </si>
  <si>
    <t>Nấm bào ngư</t>
  </si>
  <si>
    <t>Mì gói</t>
  </si>
  <si>
    <t>Nấm đùi gà</t>
  </si>
  <si>
    <t>Mồng tơi</t>
  </si>
  <si>
    <t>Khoai sọ</t>
  </si>
  <si>
    <t>CANH CHUA CHẢ CÁ</t>
  </si>
  <si>
    <t>MENU MẶN</t>
  </si>
  <si>
    <t>KHAI VỊ Y LAK</t>
  </si>
  <si>
    <t>Thịt nạc vai</t>
  </si>
  <si>
    <t>GỎI CUỐN TÔM THỊT</t>
  </si>
  <si>
    <t>Bánh tráng</t>
  </si>
  <si>
    <t>CHẢ GIÒ TÔM THỊT</t>
  </si>
  <si>
    <t>SET DINNER 455.000/ 1 PAX ( MINIMUM 2PAX)</t>
  </si>
  <si>
    <t>Chả giò</t>
  </si>
  <si>
    <t>Tôm biển</t>
  </si>
  <si>
    <t>Gỏi cuốn tôm thịt</t>
  </si>
  <si>
    <t>Gỏi gà hoa chuối</t>
  </si>
  <si>
    <t>Gỏi cà đắng cá cơm</t>
  </si>
  <si>
    <t xml:space="preserve"> Thịt bò xay </t>
  </si>
  <si>
    <t>Chi phí khác( dầu ăn, gia vị, gas)</t>
  </si>
  <si>
    <t>GÀ NƯỚNG LÁ CHANH</t>
  </si>
  <si>
    <t>VỊT QUAY HỒ LAK SỐT TIÊU ĐEN VÀ MẬT ONG</t>
  </si>
  <si>
    <t>Con</t>
  </si>
  <si>
    <t>Ống lồ ô</t>
  </si>
  <si>
    <t>LẨU CÁ LĂNG ĐỒNG NẤU MĂNG CHUA</t>
  </si>
  <si>
    <t>LẨU CÁ THÁC LÁC NẤU MĂNG CHUA/ MƯỚP ĐẮNG</t>
  </si>
  <si>
    <t>GỎI  BÒ BÓP THẤU</t>
  </si>
  <si>
    <t>Thịt bò thăn</t>
  </si>
  <si>
    <t>Măng chua</t>
  </si>
  <si>
    <t>Cá Lăng</t>
  </si>
  <si>
    <t>SỮA CHUA</t>
  </si>
  <si>
    <t>TRÁI CÂY THEO MÙA</t>
  </si>
  <si>
    <t>Sữa chua</t>
  </si>
  <si>
    <t xml:space="preserve"> hủ</t>
  </si>
  <si>
    <t>Trái cây xắt hạt lựu</t>
  </si>
  <si>
    <t>Dưa hấu</t>
  </si>
  <si>
    <t xml:space="preserve">SET MENU 195.000/ 1 PAX ( MINIMUM 2PAX) </t>
  </si>
  <si>
    <t>CUỐN DIẾP CHAY</t>
  </si>
  <si>
    <t>GỎI RAU MUỐNG HỒ LĂK</t>
  </si>
  <si>
    <t>Cải bẹ xanh</t>
  </si>
  <si>
    <t>bó</t>
  </si>
  <si>
    <t>Đậu hủ</t>
  </si>
  <si>
    <t>Dậu hủ</t>
  </si>
  <si>
    <t>GỎI MĂNG RỪNG TÔM THỊT</t>
  </si>
  <si>
    <t>Măng rừng</t>
  </si>
  <si>
    <t>CHẢ RAM BẮP</t>
  </si>
  <si>
    <t>ĐẬU HỦ KHO NẮM RƠM</t>
  </si>
  <si>
    <t>Bắp trái</t>
  </si>
  <si>
    <t>Bánh pía</t>
  </si>
  <si>
    <t>xấp</t>
  </si>
  <si>
    <t>CANH</t>
  </si>
  <si>
    <t>CÀ TÍM NƯỚNG MỠ HÀNH</t>
  </si>
  <si>
    <t>RAU CẢI XÀO</t>
  </si>
  <si>
    <t>ĐẬU COVE XÀO</t>
  </si>
  <si>
    <t>Rau cải</t>
  </si>
  <si>
    <t>đậu cove</t>
  </si>
  <si>
    <t>Dầu hào</t>
  </si>
  <si>
    <t>lit</t>
  </si>
  <si>
    <t>CANH SƯỜN HEO &amp; ĐU ĐỦ</t>
  </si>
  <si>
    <t xml:space="preserve">CANH BÍ ĐỎ NẤU ĐẬU PHỘNG </t>
  </si>
  <si>
    <t>sườn heo</t>
  </si>
  <si>
    <t>Đậu phộng sống</t>
  </si>
  <si>
    <t>Giá đỗ</t>
  </si>
  <si>
    <t>Hẹ</t>
  </si>
  <si>
    <t>CANH SƯỜN HEO &amp; MĂNG RỪNG</t>
  </si>
  <si>
    <t>Mang rừng</t>
  </si>
  <si>
    <t>CANH BÍ ĐAO NHỒI THỊT</t>
  </si>
  <si>
    <t>Thịt heo xay</t>
  </si>
  <si>
    <t>CANH KHỔ QUA NHỒI THỊT</t>
  </si>
  <si>
    <t>SET MENU 255.000/ 1 PAX ( MINIMUM 2PAX)</t>
  </si>
  <si>
    <t>Khổ qua</t>
  </si>
  <si>
    <t>KHAI VỊ CHAY HỒ LAK</t>
  </si>
  <si>
    <t>Chả ram bắp</t>
  </si>
  <si>
    <t>CANH CẢI THỊT BẰM</t>
  </si>
  <si>
    <t>Gỏi đu đủ chay</t>
  </si>
  <si>
    <t>Gỏi rau muống chay</t>
  </si>
  <si>
    <t>Thit bằm</t>
  </si>
  <si>
    <t>ĐÂỤ KHUÔN RAM SẢ</t>
  </si>
  <si>
    <t>LẨU NẤM CHAY</t>
  </si>
  <si>
    <t>CANH GÀ LÁ GIANG</t>
  </si>
  <si>
    <t>Nấm kim châm</t>
  </si>
  <si>
    <t>CANH CHUA CÁ LĂNG</t>
  </si>
  <si>
    <t xml:space="preserve">NẤM RƠM KHO </t>
  </si>
  <si>
    <t>Cá lăng</t>
  </si>
  <si>
    <t>CANH CHUA CÁ BÔNG LAU</t>
  </si>
  <si>
    <t>Cá Bông Lau</t>
  </si>
  <si>
    <t>CANH CÁ THÁC LÁC MƯỚP ĐẮNG RỪNG</t>
  </si>
  <si>
    <t>Mướp đắng</t>
  </si>
  <si>
    <t>Bí đao xanh</t>
  </si>
  <si>
    <t>CANH CÁ THÁC LÁC MĂNG CHUA</t>
  </si>
  <si>
    <t>BÁNH CHUỐI NƯỚNG</t>
  </si>
  <si>
    <t>Chuối</t>
  </si>
  <si>
    <t>Trái cây cắt hạt lựu</t>
  </si>
  <si>
    <t xml:space="preserve"> -   </t>
  </si>
  <si>
    <t>Rượu barcadi</t>
  </si>
  <si>
    <t>ml</t>
  </si>
  <si>
    <t>Cải thảo</t>
  </si>
  <si>
    <t>LẨU CÁ THÁC LÁC MƯỚP ĐẮNG RỪNG</t>
  </si>
  <si>
    <t>LẨU GÀ LÁ GIANG/ LÁ É</t>
  </si>
  <si>
    <t>VỊT NẤU CHAO</t>
  </si>
  <si>
    <t>Chao hủ</t>
  </si>
  <si>
    <t>Mồng tới</t>
  </si>
  <si>
    <t>MÓN MẶN</t>
  </si>
  <si>
    <t>CÁ BỐNG KHO TIÊU/ CHIÊN GIÒN</t>
  </si>
  <si>
    <t>TÉP HỒ LAK RAM VỚI KHẾ/ RAM MẶN</t>
  </si>
  <si>
    <t>GÀ ĐỒNG BÀO NƯỚNG DÙNG KÈM CƠM LAM</t>
  </si>
  <si>
    <t>CÁ DIÊU HỒNG SỐT CHANH DÂY</t>
  </si>
  <si>
    <t>Cá diêu hồng</t>
  </si>
  <si>
    <t>Chanh dây</t>
  </si>
  <si>
    <t>CÁ DIÊU HỒNG NƯỚNG GIẤY BẠC</t>
  </si>
  <si>
    <t xml:space="preserve"> Cá diêu hồng</t>
  </si>
  <si>
    <t>TÔM KHO TỘ</t>
  </si>
  <si>
    <t>SƯỜN NƯỚNG BBQ CƠM LAM</t>
  </si>
  <si>
    <t>Sườn que</t>
  </si>
  <si>
    <t>CÁ LĂNG ƯỚP NGHỆ NƯỚNG LÁ CHUỐI</t>
  </si>
  <si>
    <t xml:space="preserve"> Cá lăng</t>
  </si>
  <si>
    <t>CÁ LĂNG KHO TỘ</t>
  </si>
  <si>
    <t>GÀ CUỘN SẢ NƯỚNG SỐT CAY/ GÀ RAM GỪNG/ GÀ CHIÊN NƯỚC MẮM/ HẤP LÁ CHANH</t>
  </si>
  <si>
    <t>HEO XÀO LĂN</t>
  </si>
  <si>
    <t>Thiịt heo ba chỉ</t>
  </si>
  <si>
    <t>ẾCH XÀO LĂN</t>
  </si>
  <si>
    <t>Ếch</t>
  </si>
  <si>
    <t>TRỨNG VỊT HỒ LAK CHIÊN THỊT BẰM</t>
  </si>
  <si>
    <t>Thiịt heo xay</t>
  </si>
  <si>
    <t>MÓN XÀO</t>
  </si>
  <si>
    <t>RAU CỦ XÀO THẬP CẨM</t>
  </si>
  <si>
    <t>Đậu ve</t>
  </si>
  <si>
    <t>Sú lơ trắng</t>
  </si>
  <si>
    <t>Sú lơ xanh</t>
  </si>
  <si>
    <t>RAU MUỐNG XÀO TỎI</t>
  </si>
  <si>
    <t>ĐẬU COVE XÀO TỎI</t>
  </si>
  <si>
    <t>Đậu cove</t>
  </si>
  <si>
    <t>ĐẬU RỒNG XÀO TỎI</t>
  </si>
  <si>
    <t>đậu rồng</t>
  </si>
  <si>
    <t>LÁ BÉP XÀO CÁ HỘP</t>
  </si>
  <si>
    <t>CÁ hộp</t>
  </si>
  <si>
    <t xml:space="preserve">Bầu </t>
  </si>
  <si>
    <t>Caà rốt</t>
  </si>
  <si>
    <t>NGÓ SEN TƯƠI HỒ LAK XÀO</t>
  </si>
  <si>
    <t>Ngó sen</t>
  </si>
  <si>
    <t>ĐỌT BÍ XÀO</t>
  </si>
  <si>
    <t>đọt bí</t>
  </si>
  <si>
    <t>MĂNG  XÀO LÁ QUẾ</t>
  </si>
  <si>
    <t xml:space="preserve">CƠM &amp; MÌ </t>
  </si>
  <si>
    <t>MÌ XÀO BÒ</t>
  </si>
  <si>
    <t>Thịt bò bắp</t>
  </si>
  <si>
    <t>MIẾN XÀO NỒI ĐẤT</t>
  </si>
  <si>
    <t>Miến dong</t>
  </si>
  <si>
    <t>CƠM CHIÊN GÀ XÉ HẠT SEN</t>
  </si>
  <si>
    <t>Trứng gà</t>
  </si>
  <si>
    <t>CƠM CHIÊN HẢI SẢN HẠT SEN</t>
  </si>
  <si>
    <t>Mực</t>
  </si>
  <si>
    <t>CƠM CHIÊN RAU CỦ HẠT SEN</t>
  </si>
  <si>
    <t>MÌ XÀO RAU CỦ</t>
  </si>
  <si>
    <t>MÌ Ý SỐT CÀ CHUA</t>
  </si>
  <si>
    <t>Mỳ Ý</t>
  </si>
  <si>
    <t>MÌ Ý SỐT BÒ BẰM</t>
  </si>
  <si>
    <t>Thiịt bò xay</t>
  </si>
  <si>
    <t>BÒ LÚC LẮC / BEEFSTEAK &amp; KHOAI TÂY CHIÊN</t>
  </si>
  <si>
    <t>Bò Úc</t>
  </si>
  <si>
    <t>Khoai tây siêu thị</t>
  </si>
  <si>
    <t>MÓN ĂN CHƠI</t>
  </si>
  <si>
    <t>TEMPURA CHỦ QUẢ</t>
  </si>
  <si>
    <t>Caà tím</t>
  </si>
  <si>
    <t>BÁNH TÔM HỒ CHIÊN KHOAI LANG</t>
  </si>
  <si>
    <t>Khoai lang</t>
  </si>
  <si>
    <t>BÒ NHÚNG ME</t>
  </si>
  <si>
    <t>Bò thăn</t>
  </si>
  <si>
    <t>CLUP SANDWICH GÀ</t>
  </si>
  <si>
    <t>sandwich</t>
  </si>
  <si>
    <t>TRÁNG MIỆNG</t>
  </si>
  <si>
    <t>KEM CHOCOLATE</t>
  </si>
  <si>
    <t>Kem chocolate</t>
  </si>
  <si>
    <t>KEM VANI</t>
  </si>
  <si>
    <t>Kem vani</t>
  </si>
  <si>
    <t>Chi phí khác (trái cây hạt lựu )</t>
  </si>
  <si>
    <t>CHÈ HẠT SEN LONG NHÃN</t>
  </si>
  <si>
    <t>Long nhãn</t>
  </si>
  <si>
    <t>BÁNH CHUỐI NƯỚNG DÙNG KÈM KEM VANILLA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</si>
</sst>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-* #,##0\ _₫_-;\-* #,##0\ _₫_-;_-* &quot;-&quot;??\ _₫_-;_-@"/>
    <numFmt numFmtId="166" formatCode="_-* #,##0.0000\ _₫_-;\-* #,##0.0000\ _₫_-;_-* &quot;-&quot;??\ _₫_-;_-@"/>
    <numFmt numFmtId="167" formatCode="#,##0.0"/>
  </numFmts>
  <fonts count="37">
    <font>
      <sz val="11.0"/>
      <color theme="1"/>
      <name val="Calibri"/>
      <scheme val="minor"/>
    </font>
    <font>
      <b/>
      <sz val="20.0"/>
      <color rgb="FFFF0000"/>
      <name val="Calibri"/>
    </font>
    <font>
      <b/>
      <sz val="26.0"/>
      <color theme="1"/>
      <name val="Calibri"/>
    </font>
    <font/>
    <font>
      <b/>
      <sz val="20.0"/>
      <color theme="1"/>
      <name val="Calibri"/>
    </font>
    <font>
      <b/>
      <sz val="12.0"/>
      <color theme="1"/>
      <name val="Arial"/>
    </font>
    <font>
      <b/>
      <sz val="12.0"/>
      <color rgb="FFFF0000"/>
      <name val="Calibri"/>
    </font>
    <font>
      <b/>
      <sz val="14.0"/>
      <color theme="1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Calibri"/>
    </font>
    <font>
      <b/>
      <sz val="10.0"/>
      <color rgb="FFFF0000"/>
      <name val="Calibri"/>
    </font>
    <font>
      <b/>
      <sz val="14.0"/>
      <color rgb="FFFF0000"/>
      <name val="Calibri"/>
    </font>
    <font>
      <b/>
      <sz val="11.0"/>
      <color rgb="FFFF0000"/>
      <name val="Calibri"/>
    </font>
    <font>
      <b/>
      <sz val="12.0"/>
      <color rgb="FFFF0000"/>
      <name val="Arial"/>
    </font>
    <font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Calibri"/>
    </font>
    <font>
      <sz val="12.0"/>
      <color rgb="FF000000"/>
      <name val="Arial"/>
    </font>
    <font>
      <sz val="12.0"/>
      <color rgb="FFFF0000"/>
      <name val="Calibri"/>
    </font>
    <font>
      <sz val="12.0"/>
      <color theme="1"/>
      <name val="Arial"/>
    </font>
    <font>
      <b/>
      <sz val="12.0"/>
      <color rgb="FF000000"/>
      <name val="Arial"/>
    </font>
    <font>
      <sz val="12.0"/>
      <color rgb="FFFF0000"/>
      <name val="Arial"/>
    </font>
    <font>
      <b/>
      <sz val="12.0"/>
      <color theme="1"/>
      <name val="Times New Roman"/>
    </font>
    <font>
      <b/>
      <sz val="11.0"/>
      <color theme="1"/>
      <name val="Calibri"/>
    </font>
    <font>
      <b/>
      <sz val="11.0"/>
      <color rgb="FF000000"/>
      <name val="Arial"/>
    </font>
    <font>
      <sz val="11.0"/>
      <color rgb="FF000000"/>
      <name val="Arial"/>
    </font>
    <font>
      <b/>
      <sz val="12.0"/>
      <color rgb="FF333333"/>
      <name val="Arial"/>
    </font>
    <font>
      <b/>
      <sz val="20.0"/>
      <color rgb="FF000000"/>
      <name val="Arial"/>
    </font>
    <font>
      <b/>
      <sz val="20.0"/>
      <color theme="1"/>
      <name val="Arial"/>
    </font>
    <font>
      <b/>
      <sz val="12.0"/>
      <color rgb="FFFF0000"/>
      <name val="Times New Roman"/>
    </font>
    <font>
      <sz val="11.0"/>
      <color rgb="FFFF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rgb="FFFAEBD7"/>
        <bgColor rgb="FFFAEBD7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theme="4"/>
        <bgColor theme="4"/>
      </patternFill>
    </fill>
    <fill>
      <patternFill patternType="solid">
        <fgColor rgb="FFE7E6E6"/>
        <bgColor rgb="FFE7E6E6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bottom style="thin">
        <color rgb="FF000000"/>
      </bottom>
    </border>
    <border>
      <right/>
      <top/>
      <bottom/>
    </border>
    <border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theme="5"/>
      </left>
    </border>
    <border>
      <left style="medium">
        <color rgb="FF000000"/>
      </left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2" fillId="0" fontId="3" numFmtId="0" xfId="0" applyBorder="1" applyFont="1"/>
    <xf borderId="4" fillId="2" fontId="4" numFmtId="0" xfId="0" applyAlignment="1" applyBorder="1" applyFill="1" applyFont="1">
      <alignment horizontal="center"/>
    </xf>
    <xf borderId="5" fillId="0" fontId="3" numFmtId="0" xfId="0" applyBorder="1" applyFont="1"/>
    <xf borderId="6" fillId="0" fontId="5" numFmtId="0" xfId="0" applyBorder="1" applyFont="1"/>
    <xf borderId="7" fillId="0" fontId="3" numFmtId="0" xfId="0" applyBorder="1" applyFont="1"/>
    <xf borderId="8" fillId="0" fontId="1" numFmtId="0" xfId="0" applyAlignment="1" applyBorder="1" applyFont="1">
      <alignment horizontal="center"/>
    </xf>
    <xf borderId="6" fillId="0" fontId="5" numFmtId="3" xfId="0" applyBorder="1" applyFont="1" applyNumberFormat="1"/>
    <xf borderId="9" fillId="0" fontId="3" numFmtId="0" xfId="0" applyBorder="1" applyFont="1"/>
    <xf borderId="6" fillId="0" fontId="5" numFmtId="49" xfId="0" applyBorder="1" applyFont="1" applyNumberFormat="1"/>
    <xf borderId="1" fillId="2" fontId="1" numFmtId="0" xfId="0" applyAlignment="1" applyBorder="1" applyFont="1">
      <alignment horizontal="center"/>
    </xf>
    <xf borderId="10" fillId="0" fontId="3" numFmtId="0" xfId="0" applyBorder="1" applyFont="1"/>
    <xf borderId="8" fillId="0" fontId="6" numFmtId="0" xfId="0" applyAlignment="1" applyBorder="1" applyFont="1">
      <alignment horizontal="center"/>
    </xf>
    <xf borderId="11" fillId="3" fontId="7" numFmtId="0" xfId="0" applyAlignment="1" applyBorder="1" applyFill="1" applyFont="1">
      <alignment horizontal="center"/>
    </xf>
    <xf borderId="1" fillId="0" fontId="7" numFmtId="164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5" fillId="0" fontId="7" numFmtId="0" xfId="0" applyAlignment="1" applyBorder="1" applyFont="1">
      <alignment horizontal="center"/>
    </xf>
    <xf borderId="6" fillId="0" fontId="7" numFmtId="0" xfId="0" applyBorder="1" applyFont="1"/>
    <xf borderId="6" fillId="0" fontId="8" numFmtId="0" xfId="0" applyBorder="1" applyFont="1"/>
    <xf borderId="6" fillId="0" fontId="9" numFmtId="0" xfId="0" applyBorder="1" applyFont="1"/>
    <xf borderId="6" fillId="0" fontId="10" numFmtId="164" xfId="0" applyAlignment="1" applyBorder="1" applyFont="1" applyNumberFormat="1">
      <alignment horizontal="center"/>
    </xf>
    <xf borderId="6" fillId="0" fontId="9" numFmtId="4" xfId="0" applyBorder="1" applyFont="1" applyNumberFormat="1"/>
    <xf borderId="6" fillId="0" fontId="10" numFmtId="2" xfId="0" applyAlignment="1" applyBorder="1" applyFont="1" applyNumberFormat="1">
      <alignment horizontal="right"/>
    </xf>
    <xf borderId="14" fillId="4" fontId="11" numFmtId="165" xfId="0" applyBorder="1" applyFill="1" applyFont="1" applyNumberFormat="1"/>
    <xf borderId="15" fillId="3" fontId="5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2" fillId="0" fontId="12" numFmtId="0" xfId="0" applyAlignment="1" applyBorder="1" applyFont="1">
      <alignment horizontal="center"/>
    </xf>
    <xf borderId="0" fillId="0" fontId="13" numFmtId="165" xfId="0" applyFont="1" applyNumberFormat="1"/>
    <xf borderId="1" fillId="0" fontId="14" numFmtId="0" xfId="0" applyAlignment="1" applyBorder="1" applyFont="1">
      <alignment horizontal="center"/>
    </xf>
    <xf borderId="1" fillId="0" fontId="10" numFmtId="164" xfId="0" applyBorder="1" applyFont="1" applyNumberFormat="1"/>
    <xf borderId="6" fillId="5" fontId="15" numFmtId="3" xfId="0" applyAlignment="1" applyBorder="1" applyFill="1" applyFont="1" applyNumberFormat="1">
      <alignment horizontal="right" vertical="center"/>
    </xf>
    <xf borderId="18" fillId="0" fontId="10" numFmtId="164" xfId="0" applyAlignment="1" applyBorder="1" applyFont="1" applyNumberFormat="1">
      <alignment horizontal="center"/>
    </xf>
    <xf borderId="19" fillId="0" fontId="7" numFmtId="164" xfId="0" applyAlignment="1" applyBorder="1" applyFont="1" applyNumberFormat="1">
      <alignment horizontal="center"/>
    </xf>
    <xf borderId="20" fillId="0" fontId="16" numFmtId="0" xfId="0" applyBorder="1" applyFont="1"/>
    <xf borderId="6" fillId="0" fontId="17" numFmtId="0" xfId="0" applyBorder="1" applyFont="1"/>
    <xf borderId="6" fillId="0" fontId="10" numFmtId="0" xfId="0" applyBorder="1" applyFont="1"/>
    <xf borderId="1" fillId="0" fontId="18" numFmtId="3" xfId="0" applyBorder="1" applyFont="1" applyNumberFormat="1"/>
    <xf borderId="6" fillId="0" fontId="10" numFmtId="164" xfId="0" applyBorder="1" applyFont="1" applyNumberFormat="1"/>
    <xf borderId="1" fillId="0" fontId="6" numFmtId="0" xfId="0" applyBorder="1" applyFont="1"/>
    <xf borderId="21" fillId="0" fontId="19" numFmtId="0" xfId="0" applyBorder="1" applyFont="1"/>
    <xf borderId="6" fillId="0" fontId="20" numFmtId="3" xfId="0" applyAlignment="1" applyBorder="1" applyFont="1" applyNumberFormat="1">
      <alignment horizontal="right"/>
    </xf>
    <xf borderId="21" fillId="0" fontId="19" numFmtId="164" xfId="0" applyBorder="1" applyFont="1" applyNumberFormat="1"/>
    <xf borderId="21" fillId="0" fontId="19" numFmtId="2" xfId="0" applyBorder="1" applyFont="1" applyNumberFormat="1"/>
    <xf borderId="21" fillId="0" fontId="6" numFmtId="164" xfId="0" applyBorder="1" applyFont="1" applyNumberFormat="1"/>
    <xf borderId="8" fillId="0" fontId="7" numFmtId="164" xfId="0" applyAlignment="1" applyBorder="1" applyFont="1" applyNumberFormat="1">
      <alignment horizontal="center" vertical="center"/>
    </xf>
    <xf borderId="22" fillId="0" fontId="3" numFmtId="0" xfId="0" applyBorder="1" applyFont="1"/>
    <xf borderId="0" fillId="0" fontId="16" numFmtId="166" xfId="0" applyFont="1" applyNumberFormat="1"/>
    <xf borderId="20" fillId="0" fontId="7" numFmtId="9" xfId="0" applyBorder="1" applyFont="1" applyNumberFormat="1"/>
    <xf borderId="6" fillId="0" fontId="21" numFmtId="0" xfId="0" applyBorder="1" applyFont="1"/>
    <xf borderId="23" fillId="0" fontId="16" numFmtId="0" xfId="0" applyBorder="1" applyFont="1"/>
    <xf borderId="6" fillId="0" fontId="18" numFmtId="0" xfId="0" applyBorder="1" applyFont="1"/>
    <xf borderId="6" fillId="0" fontId="18" numFmtId="3" xfId="0" applyAlignment="1" applyBorder="1" applyFont="1" applyNumberFormat="1">
      <alignment horizontal="right"/>
    </xf>
    <xf borderId="1" fillId="0" fontId="6" numFmtId="0" xfId="0" applyAlignment="1" applyBorder="1" applyFont="1">
      <alignment horizontal="center"/>
    </xf>
    <xf borderId="24" fillId="0" fontId="6" numFmtId="0" xfId="0" applyAlignment="1" applyBorder="1" applyFont="1">
      <alignment horizontal="center"/>
    </xf>
    <xf borderId="21" fillId="0" fontId="7" numFmtId="164" xfId="0" applyBorder="1" applyFont="1" applyNumberFormat="1"/>
    <xf borderId="1" fillId="0" fontId="14" numFmtId="0" xfId="0" applyBorder="1" applyFont="1"/>
    <xf borderId="25" fillId="0" fontId="7" numFmtId="9" xfId="0" applyBorder="1" applyFont="1" applyNumberFormat="1"/>
    <xf borderId="21" fillId="0" fontId="22" numFmtId="0" xfId="0" applyBorder="1" applyFont="1"/>
    <xf borderId="25" fillId="0" fontId="16" numFmtId="0" xfId="0" applyBorder="1" applyFont="1"/>
    <xf borderId="21" fillId="0" fontId="22" numFmtId="0" xfId="0" applyAlignment="1" applyBorder="1" applyFont="1">
      <alignment horizontal="right"/>
    </xf>
    <xf borderId="6" fillId="0" fontId="23" numFmtId="0" xfId="0" applyBorder="1" applyFont="1"/>
    <xf borderId="21" fillId="0" fontId="14" numFmtId="3" xfId="0" applyBorder="1" applyFont="1" applyNumberFormat="1"/>
    <xf borderId="6" fillId="0" fontId="10" numFmtId="0" xfId="0" applyAlignment="1" applyBorder="1" applyFont="1">
      <alignment horizontal="right"/>
    </xf>
    <xf borderId="18" fillId="0" fontId="6" numFmtId="0" xfId="0" applyAlignment="1" applyBorder="1" applyFont="1">
      <alignment horizontal="center"/>
    </xf>
    <xf borderId="1" fillId="6" fontId="14" numFmtId="0" xfId="0" applyAlignment="1" applyBorder="1" applyFill="1" applyFont="1">
      <alignment horizontal="center"/>
    </xf>
    <xf borderId="0" fillId="0" fontId="7" numFmtId="164" xfId="0" applyFont="1" applyNumberFormat="1"/>
    <xf borderId="6" fillId="6" fontId="8" numFmtId="0" xfId="0" applyBorder="1" applyFont="1"/>
    <xf borderId="6" fillId="6" fontId="9" numFmtId="0" xfId="0" applyBorder="1" applyFont="1"/>
    <xf borderId="6" fillId="6" fontId="15" numFmtId="3" xfId="0" applyAlignment="1" applyBorder="1" applyFont="1" applyNumberFormat="1">
      <alignment horizontal="right" vertical="center"/>
    </xf>
    <xf borderId="18" fillId="0" fontId="10" numFmtId="164" xfId="0" applyBorder="1" applyFont="1" applyNumberFormat="1"/>
    <xf borderId="26" fillId="6" fontId="18" numFmtId="3" xfId="0" applyBorder="1" applyFont="1" applyNumberFormat="1"/>
    <xf borderId="6" fillId="6" fontId="21" numFmtId="0" xfId="0" applyBorder="1" applyFont="1"/>
    <xf borderId="6" fillId="6" fontId="18" numFmtId="0" xfId="0" applyBorder="1" applyFont="1"/>
    <xf borderId="6" fillId="6" fontId="18" numFmtId="3" xfId="0" applyAlignment="1" applyBorder="1" applyFont="1" applyNumberFormat="1">
      <alignment horizontal="right"/>
    </xf>
    <xf borderId="8" fillId="0" fontId="6" numFmtId="164" xfId="0" applyBorder="1" applyFont="1" applyNumberFormat="1"/>
    <xf borderId="26" fillId="6" fontId="14" numFmtId="0" xfId="0" applyBorder="1" applyFont="1"/>
    <xf borderId="2" fillId="0" fontId="7" numFmtId="164" xfId="0" applyBorder="1" applyFont="1" applyNumberFormat="1"/>
    <xf borderId="27" fillId="6" fontId="22" numFmtId="0" xfId="0" applyBorder="1" applyFont="1"/>
    <xf borderId="27" fillId="6" fontId="22" numFmtId="0" xfId="0" applyAlignment="1" applyBorder="1" applyFont="1">
      <alignment horizontal="right"/>
    </xf>
    <xf borderId="27" fillId="6" fontId="14" numFmtId="3" xfId="0" applyBorder="1" applyFont="1" applyNumberFormat="1"/>
    <xf borderId="14" fillId="6" fontId="16" numFmtId="0" xfId="0" applyBorder="1" applyFont="1"/>
    <xf borderId="28" fillId="0" fontId="7" numFmtId="164" xfId="0" applyBorder="1" applyFont="1" applyNumberFormat="1"/>
    <xf borderId="28" fillId="0" fontId="7" numFmtId="9" xfId="0" applyBorder="1" applyFont="1" applyNumberFormat="1"/>
    <xf borderId="25" fillId="0" fontId="24" numFmtId="0" xfId="0" applyBorder="1" applyFont="1"/>
    <xf borderId="6" fillId="6" fontId="25" numFmtId="0" xfId="0" applyBorder="1" applyFont="1"/>
    <xf borderId="6" fillId="6" fontId="26" numFmtId="0" xfId="0" applyBorder="1" applyFont="1"/>
    <xf borderId="6" fillId="0" fontId="24" numFmtId="0" xfId="0" applyBorder="1" applyFont="1"/>
    <xf borderId="6" fillId="0" fontId="16" numFmtId="0" xfId="0" applyBorder="1" applyFont="1"/>
    <xf borderId="19" fillId="0" fontId="7" numFmtId="164" xfId="0" applyBorder="1" applyFont="1" applyNumberFormat="1"/>
    <xf borderId="19" fillId="0" fontId="7" numFmtId="9" xfId="0" applyBorder="1" applyFont="1" applyNumberFormat="1"/>
    <xf borderId="20" fillId="0" fontId="24" numFmtId="0" xfId="0" applyBorder="1" applyFont="1"/>
    <xf borderId="29" fillId="6" fontId="21" numFmtId="0" xfId="0" applyBorder="1" applyFont="1"/>
    <xf borderId="29" fillId="6" fontId="18" numFmtId="0" xfId="0" applyBorder="1" applyFont="1"/>
    <xf borderId="22" fillId="0" fontId="7" numFmtId="164" xfId="0" applyBorder="1" applyFont="1" applyNumberFormat="1"/>
    <xf borderId="22" fillId="0" fontId="7" numFmtId="9" xfId="0" applyBorder="1" applyFont="1" applyNumberFormat="1"/>
    <xf borderId="23" fillId="0" fontId="24" numFmtId="0" xfId="0" applyBorder="1" applyFont="1"/>
    <xf borderId="23" fillId="0" fontId="18" numFmtId="0" xfId="0" applyBorder="1" applyFont="1"/>
    <xf borderId="29" fillId="6" fontId="18" numFmtId="3" xfId="0" applyAlignment="1" applyBorder="1" applyFont="1" applyNumberFormat="1">
      <alignment horizontal="right"/>
    </xf>
    <xf borderId="23" fillId="0" fontId="18" numFmtId="3" xfId="0" applyAlignment="1" applyBorder="1" applyFont="1" applyNumberFormat="1">
      <alignment horizontal="right"/>
    </xf>
    <xf borderId="30" fillId="6" fontId="14" numFmtId="0" xfId="0" applyBorder="1" applyFont="1"/>
    <xf borderId="30" fillId="6" fontId="14" numFmtId="0" xfId="0" applyAlignment="1" applyBorder="1" applyFont="1">
      <alignment horizontal="right"/>
    </xf>
    <xf borderId="30" fillId="6" fontId="14" numFmtId="3" xfId="0" applyBorder="1" applyFont="1" applyNumberFormat="1"/>
    <xf borderId="24" fillId="0" fontId="21" numFmtId="0" xfId="0" applyBorder="1" applyFont="1"/>
    <xf borderId="6" fillId="0" fontId="25" numFmtId="0" xfId="0" applyBorder="1" applyFont="1"/>
    <xf borderId="6" fillId="0" fontId="26" numFmtId="0" xfId="0" applyBorder="1" applyFont="1"/>
    <xf borderId="23" fillId="0" fontId="7" numFmtId="9" xfId="0" applyBorder="1" applyFont="1" applyNumberFormat="1"/>
    <xf borderId="6" fillId="7" fontId="27" numFmtId="0" xfId="0" applyAlignment="1" applyBorder="1" applyFill="1" applyFont="1">
      <alignment shrinkToFit="0" vertical="center" wrapText="1"/>
    </xf>
    <xf borderId="14" fillId="4" fontId="16" numFmtId="3" xfId="0" applyBorder="1" applyFont="1" applyNumberFormat="1"/>
    <xf borderId="14" fillId="8" fontId="8" numFmtId="0" xfId="0" applyBorder="1" applyFill="1" applyFont="1"/>
    <xf borderId="14" fillId="8" fontId="9" numFmtId="0" xfId="0" applyBorder="1" applyFont="1"/>
    <xf borderId="14" fillId="8" fontId="20" numFmtId="3" xfId="0" applyAlignment="1" applyBorder="1" applyFont="1" applyNumberFormat="1">
      <alignment horizontal="right"/>
    </xf>
    <xf borderId="14" fillId="8" fontId="28" numFmtId="3" xfId="0" applyBorder="1" applyFont="1" applyNumberFormat="1"/>
    <xf borderId="14" fillId="8" fontId="16" numFmtId="9" xfId="0" applyBorder="1" applyFont="1" applyNumberFormat="1"/>
    <xf borderId="14" fillId="8" fontId="29" numFmtId="3" xfId="0" applyBorder="1" applyFont="1" applyNumberFormat="1"/>
    <xf borderId="1" fillId="6" fontId="30" numFmtId="0" xfId="0" applyAlignment="1" applyBorder="1" applyFont="1">
      <alignment horizontal="center"/>
    </xf>
    <xf borderId="6" fillId="6" fontId="30" numFmtId="9" xfId="0" applyBorder="1" applyFont="1" applyNumberFormat="1"/>
    <xf borderId="6" fillId="6" fontId="8" numFmtId="9" xfId="0" applyBorder="1" applyFont="1" applyNumberFormat="1"/>
    <xf borderId="31" fillId="2" fontId="4" numFmtId="0" xfId="0" applyAlignment="1" applyBorder="1" applyFont="1">
      <alignment horizontal="center"/>
    </xf>
    <xf borderId="32" fillId="0" fontId="3" numFmtId="0" xfId="0" applyBorder="1" applyFont="1"/>
    <xf borderId="33" fillId="0" fontId="3" numFmtId="0" xfId="0" applyBorder="1" applyFont="1"/>
    <xf borderId="3" fillId="0" fontId="22" numFmtId="0" xfId="0" applyBorder="1" applyFont="1"/>
    <xf borderId="3" fillId="0" fontId="22" numFmtId="0" xfId="0" applyAlignment="1" applyBorder="1" applyFont="1">
      <alignment horizontal="right"/>
    </xf>
    <xf borderId="3" fillId="0" fontId="14" numFmtId="3" xfId="0" applyBorder="1" applyFont="1" applyNumberFormat="1"/>
    <xf borderId="14" fillId="4" fontId="16" numFmtId="0" xfId="0" applyBorder="1" applyFont="1"/>
    <xf borderId="6" fillId="6" fontId="20" numFmtId="3" xfId="0" applyAlignment="1" applyBorder="1" applyFont="1" applyNumberFormat="1">
      <alignment horizontal="right"/>
    </xf>
    <xf borderId="34" fillId="6" fontId="14" numFmtId="0" xfId="0" applyBorder="1" applyFont="1"/>
    <xf borderId="24" fillId="0" fontId="14" numFmtId="0" xfId="0" applyBorder="1" applyFont="1"/>
    <xf borderId="35" fillId="0" fontId="5" numFmtId="0" xfId="0" applyBorder="1" applyFont="1"/>
    <xf borderId="0" fillId="0" fontId="5" numFmtId="3" xfId="0" applyFont="1" applyNumberFormat="1"/>
    <xf borderId="0" fillId="0" fontId="21" numFmtId="0" xfId="0" applyFont="1"/>
    <xf borderId="0" fillId="0" fontId="18" numFmtId="0" xfId="0" applyFont="1"/>
    <xf borderId="0" fillId="0" fontId="18" numFmtId="3" xfId="0" applyAlignment="1" applyFont="1" applyNumberFormat="1">
      <alignment horizontal="right"/>
    </xf>
    <xf borderId="0" fillId="0" fontId="18" numFmtId="3" xfId="0" applyFont="1" applyNumberFormat="1"/>
    <xf borderId="14" fillId="8" fontId="16" numFmtId="0" xfId="0" applyBorder="1" applyFont="1"/>
    <xf borderId="23" fillId="0" fontId="10" numFmtId="0" xfId="0" applyBorder="1" applyFont="1"/>
    <xf borderId="14" fillId="2" fontId="16" numFmtId="0" xfId="0" applyBorder="1" applyFont="1"/>
    <xf borderId="23" fillId="0" fontId="10" numFmtId="164" xfId="0" applyBorder="1" applyFont="1" applyNumberFormat="1"/>
    <xf borderId="8" fillId="0" fontId="10" numFmtId="0" xfId="0" applyBorder="1" applyFont="1"/>
    <xf borderId="8" fillId="0" fontId="10" numFmtId="164" xfId="0" applyBorder="1" applyFont="1" applyNumberFormat="1"/>
    <xf borderId="0" fillId="0" fontId="13" numFmtId="0" xfId="0" applyAlignment="1" applyFont="1">
      <alignment shrinkToFit="0" wrapText="1"/>
    </xf>
    <xf borderId="0" fillId="0" fontId="13" numFmtId="0" xfId="0" applyFont="1"/>
    <xf borderId="0" fillId="0" fontId="13" numFmtId="9" xfId="0" applyFont="1" applyNumberFormat="1"/>
    <xf borderId="6" fillId="0" fontId="10" numFmtId="164" xfId="0" applyAlignment="1" applyBorder="1" applyFont="1" applyNumberFormat="1">
      <alignment horizontal="right"/>
    </xf>
    <xf borderId="14" fillId="4" fontId="31" numFmtId="0" xfId="0" applyBorder="1" applyFont="1"/>
    <xf borderId="6" fillId="0" fontId="32" numFmtId="0" xfId="0" applyBorder="1" applyFont="1"/>
    <xf borderId="6" fillId="0" fontId="33" numFmtId="0" xfId="0" applyBorder="1" applyFont="1"/>
    <xf borderId="6" fillId="0" fontId="33" numFmtId="3" xfId="0" applyBorder="1" applyFont="1" applyNumberFormat="1"/>
    <xf borderId="0" fillId="0" fontId="8" numFmtId="0" xfId="0" applyFont="1"/>
    <xf borderId="0" fillId="0" fontId="9" numFmtId="0" xfId="0" applyFont="1"/>
    <xf borderId="0" fillId="0" fontId="9" numFmtId="4" xfId="0" applyFont="1" applyNumberFormat="1"/>
    <xf borderId="6" fillId="0" fontId="18" numFmtId="3" xfId="0" applyBorder="1" applyFont="1" applyNumberFormat="1"/>
    <xf borderId="28" fillId="0" fontId="6" numFmtId="164" xfId="0" applyBorder="1" applyFont="1" applyNumberFormat="1"/>
    <xf borderId="6" fillId="0" fontId="14" numFmtId="0" xfId="0" applyBorder="1" applyFont="1"/>
    <xf borderId="6" fillId="0" fontId="22" numFmtId="0" xfId="0" applyBorder="1" applyFont="1"/>
    <xf borderId="6" fillId="0" fontId="22" numFmtId="0" xfId="0" applyAlignment="1" applyBorder="1" applyFont="1">
      <alignment horizontal="right"/>
    </xf>
    <xf borderId="6" fillId="0" fontId="14" numFmtId="3" xfId="0" applyBorder="1" applyFont="1" applyNumberFormat="1"/>
    <xf borderId="19" fillId="0" fontId="6" numFmtId="0" xfId="0" applyAlignment="1" applyBorder="1" applyFont="1">
      <alignment horizontal="center" shrinkToFit="0" wrapText="1"/>
    </xf>
    <xf borderId="19" fillId="0" fontId="3" numFmtId="0" xfId="0" applyBorder="1" applyFont="1"/>
    <xf borderId="29" fillId="2" fontId="12" numFmtId="9" xfId="0" applyBorder="1" applyFont="1" applyNumberFormat="1"/>
    <xf borderId="14" fillId="4" fontId="16" numFmtId="164" xfId="0" applyBorder="1" applyFont="1" applyNumberFormat="1"/>
    <xf borderId="6" fillId="6" fontId="23" numFmtId="0" xfId="0" applyBorder="1" applyFont="1"/>
    <xf borderId="28" fillId="0" fontId="16" numFmtId="0" xfId="0" applyBorder="1" applyFont="1"/>
    <xf borderId="1" fillId="0" fontId="10" numFmtId="0" xfId="0" applyBorder="1" applyFont="1"/>
    <xf borderId="19" fillId="0" fontId="16" numFmtId="0" xfId="0" applyBorder="1" applyFont="1"/>
    <xf borderId="3" fillId="0" fontId="6" numFmtId="0" xfId="0" applyBorder="1" applyFont="1"/>
    <xf borderId="3" fillId="0" fontId="6" numFmtId="164" xfId="0" applyBorder="1" applyFont="1" applyNumberFormat="1"/>
    <xf borderId="3" fillId="0" fontId="10" numFmtId="164" xfId="0" applyBorder="1" applyFont="1" applyNumberFormat="1"/>
    <xf borderId="3" fillId="0" fontId="19" numFmtId="0" xfId="0" applyBorder="1" applyFont="1"/>
    <xf borderId="3" fillId="0" fontId="19" numFmtId="164" xfId="0" applyBorder="1" applyFont="1" applyNumberFormat="1"/>
    <xf borderId="0" fillId="0" fontId="26" numFmtId="0" xfId="0" applyFont="1"/>
    <xf borderId="6" fillId="0" fontId="18" numFmtId="0" xfId="0" applyAlignment="1" applyBorder="1" applyFont="1">
      <alignment horizontal="right"/>
    </xf>
    <xf borderId="14" fillId="4" fontId="31" numFmtId="3" xfId="0" applyBorder="1" applyFont="1" applyNumberFormat="1"/>
    <xf borderId="0" fillId="0" fontId="16" numFmtId="9" xfId="0" applyFont="1" applyNumberFormat="1"/>
    <xf borderId="0" fillId="0" fontId="34" numFmtId="0" xfId="0" applyFont="1"/>
    <xf borderId="1" fillId="0" fontId="6" numFmtId="3" xfId="0" applyBorder="1" applyFont="1" applyNumberFormat="1"/>
    <xf borderId="23" fillId="0" fontId="17" numFmtId="0" xfId="0" applyBorder="1" applyFont="1"/>
    <xf borderId="0" fillId="0" fontId="35" numFmtId="0" xfId="0" applyAlignment="1" applyFont="1">
      <alignment shrinkToFit="0" wrapText="1"/>
    </xf>
    <xf borderId="6" fillId="6" fontId="18" numFmtId="3" xfId="0" applyBorder="1" applyFont="1" applyNumberFormat="1"/>
    <xf borderId="6" fillId="6" fontId="14" numFmtId="0" xfId="0" applyBorder="1" applyFont="1"/>
    <xf borderId="6" fillId="6" fontId="22" numFmtId="0" xfId="0" applyBorder="1" applyFont="1"/>
    <xf borderId="6" fillId="6" fontId="22" numFmtId="0" xfId="0" applyAlignment="1" applyBorder="1" applyFont="1">
      <alignment horizontal="right"/>
    </xf>
    <xf borderId="6" fillId="6" fontId="14" numFmtId="3" xfId="0" applyBorder="1" applyFont="1" applyNumberFormat="1"/>
    <xf borderId="6" fillId="0" fontId="10" numFmtId="3" xfId="0" applyAlignment="1" applyBorder="1" applyFont="1" applyNumberFormat="1">
      <alignment horizontal="right"/>
    </xf>
    <xf borderId="6" fillId="0" fontId="6" numFmtId="3" xfId="0" applyBorder="1" applyFont="1" applyNumberFormat="1"/>
    <xf borderId="0" fillId="0" fontId="14" numFmtId="0" xfId="0" applyFont="1"/>
    <xf borderId="0" fillId="0" fontId="10" numFmtId="0" xfId="0" applyFont="1"/>
    <xf borderId="0" fillId="0" fontId="10" numFmtId="0" xfId="0" applyAlignment="1" applyFont="1">
      <alignment horizontal="right"/>
    </xf>
    <xf borderId="0" fillId="0" fontId="6" numFmtId="3" xfId="0" applyFont="1" applyNumberFormat="1"/>
    <xf borderId="6" fillId="9" fontId="21" numFmtId="0" xfId="0" applyBorder="1" applyFill="1" applyFont="1"/>
    <xf borderId="6" fillId="9" fontId="18" numFmtId="0" xfId="0" applyBorder="1" applyFont="1"/>
    <xf borderId="6" fillId="9" fontId="18" numFmtId="3" xfId="0" applyAlignment="1" applyBorder="1" applyFont="1" applyNumberFormat="1">
      <alignment horizontal="right"/>
    </xf>
    <xf borderId="26" fillId="9" fontId="18" numFmtId="3" xfId="0" applyBorder="1" applyFont="1" applyNumberFormat="1"/>
    <xf borderId="24" fillId="0" fontId="17" numFmtId="0" xfId="0" applyBorder="1" applyFont="1"/>
    <xf borderId="24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0" fontId="1" numFmtId="0" xfId="0" applyAlignment="1" applyBorder="1" applyFont="1">
      <alignment horizontal="center"/>
    </xf>
    <xf borderId="2" fillId="0" fontId="7" numFmtId="3" xfId="0" applyAlignment="1" applyBorder="1" applyFont="1" applyNumberFormat="1">
      <alignment horizontal="center"/>
    </xf>
    <xf borderId="21" fillId="0" fontId="16" numFmtId="164" xfId="0" applyBorder="1" applyFont="1" applyNumberFormat="1"/>
    <xf borderId="23" fillId="0" fontId="17" numFmtId="0" xfId="0" applyAlignment="1" applyBorder="1" applyFont="1">
      <alignment horizontal="left"/>
    </xf>
    <xf borderId="0" fillId="0" fontId="16" numFmtId="164" xfId="0" applyFont="1" applyNumberFormat="1"/>
    <xf borderId="24" fillId="0" fontId="6" numFmtId="0" xfId="0" applyBorder="1" applyFont="1"/>
    <xf borderId="1" fillId="0" fontId="17" numFmtId="0" xfId="0" applyAlignment="1" applyBorder="1" applyFont="1">
      <alignment horizontal="left" vertical="top"/>
    </xf>
    <xf borderId="3" fillId="0" fontId="10" numFmtId="0" xfId="0" applyAlignment="1" applyBorder="1" applyFont="1">
      <alignment horizontal="left" vertical="top"/>
    </xf>
    <xf borderId="3" fillId="0" fontId="10" numFmtId="0" xfId="0" applyAlignment="1" applyBorder="1" applyFont="1">
      <alignment horizontal="right" vertical="top"/>
    </xf>
    <xf borderId="36" fillId="2" fontId="1" numFmtId="0" xfId="0" applyAlignment="1" applyBorder="1" applyFont="1">
      <alignment horizontal="center"/>
    </xf>
    <xf borderId="37" fillId="0" fontId="3" numFmtId="0" xfId="0" applyBorder="1" applyFont="1"/>
    <xf borderId="21" fillId="0" fontId="16" numFmtId="0" xfId="0" applyBorder="1" applyFont="1"/>
    <xf borderId="0" fillId="0" fontId="36" numFmtId="0" xfId="0" applyFont="1"/>
    <xf borderId="0" fillId="0" fontId="16" numFmtId="0" xfId="0" applyFont="1"/>
    <xf borderId="6" fillId="0" fontId="9" numFmtId="3" xfId="0" applyBorder="1" applyFont="1" applyNumberFormat="1"/>
    <xf borderId="6" fillId="0" fontId="7" numFmtId="9" xfId="0" applyBorder="1" applyFont="1" applyNumberFormat="1"/>
    <xf borderId="6" fillId="0" fontId="9" numFmtId="167" xfId="0" applyBorder="1" applyFont="1" applyNumberFormat="1"/>
    <xf borderId="21" fillId="0" fontId="19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8.71"/>
    <col customWidth="1" min="3" max="3" width="11.86"/>
    <col customWidth="1" min="4" max="5" width="8.71"/>
    <col customWidth="1" min="6" max="6" width="12.71"/>
    <col customWidth="1" min="7" max="10" width="16.57"/>
    <col customWidth="1" min="11" max="26" width="8.71"/>
  </cols>
  <sheetData>
    <row r="1" ht="14.25" customHeight="1">
      <c r="A1" s="1" t="s">
        <v>2</v>
      </c>
      <c r="B1" s="3"/>
      <c r="C1" s="3"/>
      <c r="D1" s="3"/>
      <c r="E1" s="3"/>
      <c r="F1" s="3"/>
      <c r="G1" s="3"/>
      <c r="H1" s="3"/>
      <c r="I1" s="6"/>
    </row>
    <row r="2" ht="14.25" customHeight="1">
      <c r="A2" s="9" t="s">
        <v>4</v>
      </c>
      <c r="B2" s="4"/>
      <c r="C2" s="4"/>
      <c r="D2" s="4"/>
      <c r="E2" s="4"/>
      <c r="F2" s="4"/>
      <c r="G2" s="4"/>
      <c r="H2" s="4"/>
      <c r="I2" s="4"/>
      <c r="J2" s="4"/>
    </row>
    <row r="3" ht="14.25" customHeight="1">
      <c r="A3" s="13" t="s">
        <v>7</v>
      </c>
      <c r="B3" s="3"/>
      <c r="C3" s="3"/>
      <c r="D3" s="3"/>
      <c r="E3" s="3"/>
      <c r="F3" s="3"/>
      <c r="G3" s="3"/>
      <c r="H3" s="3"/>
      <c r="I3" s="3"/>
      <c r="J3" s="14"/>
    </row>
    <row r="4" ht="14.25" customHeight="1">
      <c r="A4" s="15" t="s">
        <v>10</v>
      </c>
      <c r="B4" s="4"/>
      <c r="C4" s="4"/>
      <c r="D4" s="4"/>
      <c r="E4" s="4"/>
      <c r="F4" s="4"/>
      <c r="G4" s="17" t="s">
        <v>14</v>
      </c>
      <c r="H4" s="3"/>
      <c r="I4" s="20" t="s">
        <v>17</v>
      </c>
      <c r="J4" s="21" t="s">
        <v>19</v>
      </c>
    </row>
    <row r="5" ht="14.25" customHeight="1">
      <c r="A5" s="22" t="s">
        <v>21</v>
      </c>
      <c r="B5" s="23" t="s">
        <v>23</v>
      </c>
      <c r="C5" s="24">
        <v>25000.0</v>
      </c>
      <c r="D5" s="25">
        <v>0.2</v>
      </c>
      <c r="E5" s="26">
        <v>0.0</v>
      </c>
      <c r="F5" s="34">
        <f t="shared" ref="F5:F6" si="1">C5*D5+C5*D5*E5</f>
        <v>5000</v>
      </c>
      <c r="G5" s="36"/>
      <c r="H5" s="37"/>
      <c r="I5" s="38"/>
      <c r="J5" s="38"/>
    </row>
    <row r="6" ht="14.25" customHeight="1">
      <c r="A6" s="39" t="s">
        <v>39</v>
      </c>
      <c r="B6" s="40"/>
      <c r="C6" s="42">
        <v>6000.0</v>
      </c>
      <c r="D6" s="40">
        <v>1.0</v>
      </c>
      <c r="E6" s="26">
        <v>0.0</v>
      </c>
      <c r="F6" s="34">
        <f t="shared" si="1"/>
        <v>6000</v>
      </c>
      <c r="G6" s="36"/>
      <c r="H6" s="37"/>
      <c r="I6" s="38"/>
      <c r="J6" s="38"/>
    </row>
    <row r="7" ht="14.25" customHeight="1">
      <c r="A7" s="43" t="s">
        <v>51</v>
      </c>
      <c r="B7" s="44"/>
      <c r="C7" s="46"/>
      <c r="D7" s="44"/>
      <c r="E7" s="47"/>
      <c r="F7" s="48">
        <f>SUM(F5:F6)</f>
        <v>11000</v>
      </c>
      <c r="G7" s="49">
        <v>95000.0</v>
      </c>
      <c r="H7" s="50"/>
      <c r="I7" s="52">
        <f>F7/G7</f>
        <v>0.1157894737</v>
      </c>
      <c r="J7" s="54"/>
    </row>
    <row r="8" ht="14.25" customHeight="1">
      <c r="A8" s="57" t="s">
        <v>65</v>
      </c>
      <c r="B8" s="3"/>
      <c r="C8" s="3"/>
      <c r="D8" s="3"/>
      <c r="E8" s="3"/>
      <c r="F8" s="3"/>
      <c r="G8" s="58"/>
      <c r="H8" s="59"/>
      <c r="I8" s="61"/>
      <c r="J8" s="63"/>
    </row>
    <row r="9" ht="14.25" customHeight="1">
      <c r="A9" s="65" t="s">
        <v>72</v>
      </c>
      <c r="B9" s="23" t="s">
        <v>74</v>
      </c>
      <c r="C9" s="24">
        <v>2800.0</v>
      </c>
      <c r="D9" s="25">
        <v>0.5</v>
      </c>
      <c r="E9" s="67">
        <v>0.0</v>
      </c>
      <c r="F9" s="34">
        <f t="shared" ref="F9:F13" si="2">C9*D9+C9*D9*E9</f>
        <v>1400</v>
      </c>
      <c r="G9" s="68"/>
      <c r="H9" s="70"/>
      <c r="I9" s="52"/>
      <c r="J9" s="38"/>
    </row>
    <row r="10" ht="14.25" customHeight="1">
      <c r="A10" s="65" t="s">
        <v>78</v>
      </c>
      <c r="B10" s="23" t="s">
        <v>23</v>
      </c>
      <c r="C10" s="24">
        <v>15000.0</v>
      </c>
      <c r="D10" s="25">
        <v>0.05</v>
      </c>
      <c r="E10" s="67">
        <v>0.0</v>
      </c>
      <c r="F10" s="34">
        <f t="shared" si="2"/>
        <v>750</v>
      </c>
      <c r="G10" s="74"/>
      <c r="H10" s="70"/>
      <c r="I10" s="52"/>
      <c r="J10" s="38"/>
    </row>
    <row r="11" ht="14.25" customHeight="1">
      <c r="A11" s="65" t="s">
        <v>80</v>
      </c>
      <c r="B11" s="23" t="s">
        <v>23</v>
      </c>
      <c r="C11" s="24">
        <v>27000.0</v>
      </c>
      <c r="D11" s="25">
        <v>0.05</v>
      </c>
      <c r="E11" s="67">
        <v>0.0</v>
      </c>
      <c r="F11" s="34">
        <f t="shared" si="2"/>
        <v>1350</v>
      </c>
      <c r="G11" s="74"/>
      <c r="H11" s="70"/>
      <c r="I11" s="52"/>
      <c r="J11" s="38"/>
    </row>
    <row r="12" ht="14.25" customHeight="1">
      <c r="A12" s="65" t="s">
        <v>85</v>
      </c>
      <c r="B12" s="23" t="s">
        <v>86</v>
      </c>
      <c r="C12" s="24">
        <v>6000.0</v>
      </c>
      <c r="D12" s="25">
        <v>0.05</v>
      </c>
      <c r="E12" s="67">
        <v>0.0</v>
      </c>
      <c r="F12" s="34">
        <f t="shared" si="2"/>
        <v>300</v>
      </c>
      <c r="G12" s="74"/>
      <c r="H12" s="70"/>
      <c r="I12" s="52"/>
      <c r="J12" s="38"/>
    </row>
    <row r="13" ht="14.25" customHeight="1">
      <c r="A13" s="39" t="s">
        <v>39</v>
      </c>
      <c r="B13" s="40"/>
      <c r="C13" s="42">
        <v>6000.0</v>
      </c>
      <c r="D13" s="40">
        <v>1.0</v>
      </c>
      <c r="E13" s="67">
        <v>0.0</v>
      </c>
      <c r="F13" s="34">
        <f t="shared" si="2"/>
        <v>6000</v>
      </c>
      <c r="G13" s="74"/>
      <c r="H13" s="70"/>
      <c r="I13" s="52"/>
      <c r="J13" s="38"/>
    </row>
    <row r="14" ht="14.25" customHeight="1">
      <c r="A14" s="43" t="s">
        <v>51</v>
      </c>
      <c r="B14" s="44"/>
      <c r="C14" s="46"/>
      <c r="D14" s="44"/>
      <c r="E14" s="44"/>
      <c r="F14" s="48">
        <f>SUM(F10:F13)</f>
        <v>8400</v>
      </c>
      <c r="G14" s="79"/>
      <c r="H14" s="81">
        <v>95000.0</v>
      </c>
      <c r="I14" s="52">
        <f>F14/H14</f>
        <v>0.08842105263</v>
      </c>
      <c r="J14" s="54"/>
    </row>
    <row r="15" ht="14.25" customHeight="1">
      <c r="A15" s="57" t="s">
        <v>101</v>
      </c>
      <c r="B15" s="3"/>
      <c r="C15" s="3"/>
      <c r="D15" s="3"/>
      <c r="E15" s="3"/>
      <c r="F15" s="3"/>
      <c r="G15" s="58"/>
      <c r="H15" s="86"/>
      <c r="I15" s="87"/>
      <c r="J15" s="88"/>
    </row>
    <row r="16" ht="14.25" customHeight="1">
      <c r="A16" s="91" t="s">
        <v>16</v>
      </c>
      <c r="B16" s="92" t="s">
        <v>23</v>
      </c>
      <c r="C16" s="24">
        <v>30000.0</v>
      </c>
      <c r="D16" s="92">
        <v>0.03</v>
      </c>
      <c r="E16" s="67">
        <v>0.0</v>
      </c>
      <c r="F16" s="34">
        <f t="shared" ref="F16:F19" si="3">C16*D16+C16*D16*E16</f>
        <v>900</v>
      </c>
      <c r="G16" s="74"/>
      <c r="H16" s="93"/>
      <c r="I16" s="94"/>
      <c r="J16" s="95"/>
    </row>
    <row r="17" ht="14.25" customHeight="1">
      <c r="A17" s="91" t="s">
        <v>18</v>
      </c>
      <c r="B17" s="92" t="s">
        <v>23</v>
      </c>
      <c r="C17" s="24">
        <v>15000.0</v>
      </c>
      <c r="D17" s="92">
        <v>0.3</v>
      </c>
      <c r="E17" s="67">
        <v>0.0</v>
      </c>
      <c r="F17" s="34">
        <f t="shared" si="3"/>
        <v>4500</v>
      </c>
      <c r="G17" s="74"/>
      <c r="H17" s="93"/>
      <c r="I17" s="94"/>
      <c r="J17" s="95"/>
    </row>
    <row r="18" ht="14.25" customHeight="1">
      <c r="A18" s="91" t="s">
        <v>115</v>
      </c>
      <c r="B18" s="92" t="s">
        <v>23</v>
      </c>
      <c r="C18" s="24">
        <v>13500.0</v>
      </c>
      <c r="D18" s="92">
        <v>0.03</v>
      </c>
      <c r="E18" s="67">
        <v>0.0</v>
      </c>
      <c r="F18" s="34">
        <f t="shared" si="3"/>
        <v>405</v>
      </c>
      <c r="G18" s="74"/>
      <c r="H18" s="93"/>
      <c r="I18" s="94"/>
      <c r="J18" s="95"/>
    </row>
    <row r="19" ht="14.25" customHeight="1">
      <c r="A19" s="39" t="s">
        <v>39</v>
      </c>
      <c r="B19" s="40"/>
      <c r="C19" s="42">
        <v>6000.0</v>
      </c>
      <c r="D19" s="40">
        <v>1.0</v>
      </c>
      <c r="E19" s="67">
        <v>0.0</v>
      </c>
      <c r="F19" s="34">
        <f t="shared" si="3"/>
        <v>6000</v>
      </c>
      <c r="G19" s="74"/>
      <c r="H19" s="93"/>
      <c r="I19" s="94"/>
      <c r="J19" s="95"/>
    </row>
    <row r="20" ht="14.25" customHeight="1">
      <c r="A20" s="43" t="s">
        <v>51</v>
      </c>
      <c r="B20" s="44"/>
      <c r="C20" s="46"/>
      <c r="D20" s="44"/>
      <c r="E20" s="44"/>
      <c r="F20" s="48">
        <f>SUM(F16:F19)</f>
        <v>11805</v>
      </c>
      <c r="G20" s="79"/>
      <c r="H20" s="98">
        <v>95000.0</v>
      </c>
      <c r="I20" s="99">
        <f>F20/H20</f>
        <v>0.1242631579</v>
      </c>
      <c r="J20" s="100"/>
    </row>
    <row r="21" ht="14.25" customHeight="1">
      <c r="A21" s="57" t="s">
        <v>129</v>
      </c>
      <c r="B21" s="3"/>
      <c r="C21" s="3"/>
      <c r="D21" s="3"/>
      <c r="E21" s="3"/>
      <c r="F21" s="3"/>
      <c r="G21" s="58"/>
      <c r="H21" s="86"/>
      <c r="I21" s="63"/>
      <c r="J21" s="63"/>
    </row>
    <row r="22" ht="14.25" customHeight="1">
      <c r="A22" s="22" t="s">
        <v>36</v>
      </c>
      <c r="B22" s="23" t="s">
        <v>23</v>
      </c>
      <c r="C22" s="24">
        <v>80000.0</v>
      </c>
      <c r="D22" s="25">
        <v>0.04</v>
      </c>
      <c r="E22" s="67">
        <v>0.0</v>
      </c>
      <c r="F22" s="34">
        <f t="shared" ref="F22:F27" si="4">C22*D22+C22*D22*E22</f>
        <v>3200</v>
      </c>
      <c r="G22" s="74"/>
      <c r="H22" s="93"/>
      <c r="I22" s="38"/>
      <c r="J22" s="38"/>
    </row>
    <row r="23" ht="14.25" customHeight="1">
      <c r="A23" s="22" t="s">
        <v>137</v>
      </c>
      <c r="B23" s="23" t="s">
        <v>74</v>
      </c>
      <c r="C23" s="24">
        <v>2800.0</v>
      </c>
      <c r="D23" s="25">
        <v>1.0</v>
      </c>
      <c r="E23" s="67">
        <v>0.0</v>
      </c>
      <c r="F23" s="34">
        <f t="shared" si="4"/>
        <v>2800</v>
      </c>
      <c r="G23" s="74"/>
      <c r="H23" s="93"/>
      <c r="I23" s="38"/>
      <c r="J23" s="38"/>
    </row>
    <row r="24" ht="14.25" customHeight="1">
      <c r="A24" s="22" t="s">
        <v>52</v>
      </c>
      <c r="B24" s="23" t="s">
        <v>23</v>
      </c>
      <c r="C24" s="24">
        <v>8000.0</v>
      </c>
      <c r="D24" s="25">
        <v>0.5</v>
      </c>
      <c r="E24" s="67">
        <v>0.0</v>
      </c>
      <c r="F24" s="34">
        <f t="shared" si="4"/>
        <v>4000</v>
      </c>
      <c r="G24" s="74"/>
      <c r="H24" s="93"/>
      <c r="I24" s="38"/>
      <c r="J24" s="38"/>
    </row>
    <row r="25" ht="14.25" customHeight="1">
      <c r="A25" s="22" t="s">
        <v>55</v>
      </c>
      <c r="B25" s="23" t="s">
        <v>23</v>
      </c>
      <c r="C25" s="24">
        <v>15000.0</v>
      </c>
      <c r="D25" s="25">
        <v>0.1</v>
      </c>
      <c r="E25" s="67">
        <v>0.0</v>
      </c>
      <c r="F25" s="34">
        <f t="shared" si="4"/>
        <v>1500</v>
      </c>
      <c r="G25" s="74"/>
      <c r="H25" s="93"/>
      <c r="I25" s="38"/>
      <c r="J25" s="38"/>
    </row>
    <row r="26" ht="14.25" customHeight="1">
      <c r="A26" s="22" t="s">
        <v>67</v>
      </c>
      <c r="B26" s="23" t="s">
        <v>23</v>
      </c>
      <c r="C26" s="42">
        <v>29000.0</v>
      </c>
      <c r="D26" s="25">
        <v>0.05</v>
      </c>
      <c r="E26" s="67">
        <v>0.0</v>
      </c>
      <c r="F26" s="34">
        <f t="shared" si="4"/>
        <v>1450</v>
      </c>
      <c r="G26" s="74"/>
      <c r="H26" s="93"/>
      <c r="I26" s="38"/>
      <c r="J26" s="38"/>
    </row>
    <row r="27" ht="14.25" customHeight="1">
      <c r="A27" s="39" t="s">
        <v>39</v>
      </c>
      <c r="B27" s="40"/>
      <c r="C27" s="42">
        <v>6000.0</v>
      </c>
      <c r="D27" s="40">
        <v>1.0</v>
      </c>
      <c r="E27" s="67">
        <v>0.0</v>
      </c>
      <c r="F27" s="34">
        <f t="shared" si="4"/>
        <v>6000</v>
      </c>
      <c r="G27" s="74"/>
      <c r="H27" s="93"/>
      <c r="I27" s="38"/>
      <c r="J27" s="38"/>
    </row>
    <row r="28" ht="14.25" customHeight="1">
      <c r="A28" s="43" t="s">
        <v>51</v>
      </c>
      <c r="B28" s="44"/>
      <c r="C28" s="46"/>
      <c r="D28" s="44"/>
      <c r="E28" s="44"/>
      <c r="F28" s="48">
        <f>SUM(F22:F27)</f>
        <v>18950</v>
      </c>
      <c r="G28" s="79"/>
      <c r="H28" s="98">
        <v>135000.0</v>
      </c>
      <c r="I28" s="110">
        <f>F28/H28</f>
        <v>0.1403703704</v>
      </c>
      <c r="J28" s="38"/>
    </row>
    <row r="29" ht="14.25" customHeight="1">
      <c r="A29" s="57" t="s">
        <v>153</v>
      </c>
      <c r="B29" s="3"/>
      <c r="C29" s="3"/>
      <c r="D29" s="3"/>
      <c r="E29" s="3"/>
      <c r="F29" s="3"/>
      <c r="G29" s="58"/>
      <c r="H29" s="86"/>
      <c r="I29" s="63"/>
      <c r="J29" s="63"/>
    </row>
    <row r="30" ht="14.25" customHeight="1">
      <c r="A30" s="22" t="s">
        <v>155</v>
      </c>
      <c r="B30" s="23" t="s">
        <v>156</v>
      </c>
      <c r="C30" s="24">
        <v>3400.0</v>
      </c>
      <c r="D30" s="25">
        <v>2.0</v>
      </c>
      <c r="E30" s="67">
        <v>0.0</v>
      </c>
      <c r="F30" s="34">
        <f t="shared" ref="F30:F34" si="5">C30*D30+C30*D30*E30</f>
        <v>6800</v>
      </c>
      <c r="G30" s="74"/>
      <c r="H30" s="93"/>
      <c r="I30" s="38"/>
      <c r="J30" s="38"/>
    </row>
    <row r="31" ht="14.25" customHeight="1">
      <c r="A31" s="22" t="s">
        <v>137</v>
      </c>
      <c r="B31" s="23" t="s">
        <v>74</v>
      </c>
      <c r="C31" s="24">
        <v>2800.0</v>
      </c>
      <c r="D31" s="25">
        <v>1.0</v>
      </c>
      <c r="E31" s="67">
        <v>0.0</v>
      </c>
      <c r="F31" s="34">
        <f t="shared" si="5"/>
        <v>2800</v>
      </c>
      <c r="G31" s="74"/>
      <c r="H31" s="93"/>
      <c r="I31" s="38"/>
      <c r="J31" s="38"/>
    </row>
    <row r="32" ht="14.25" customHeight="1">
      <c r="A32" s="22" t="s">
        <v>161</v>
      </c>
      <c r="B32" s="23" t="s">
        <v>23</v>
      </c>
      <c r="C32" s="24">
        <v>15000.0</v>
      </c>
      <c r="D32" s="25">
        <v>0.5</v>
      </c>
      <c r="E32" s="67">
        <v>0.0</v>
      </c>
      <c r="F32" s="34">
        <f t="shared" si="5"/>
        <v>7500</v>
      </c>
      <c r="G32" s="74"/>
      <c r="H32" s="93"/>
      <c r="I32" s="38"/>
      <c r="J32" s="38"/>
    </row>
    <row r="33" ht="14.25" customHeight="1">
      <c r="A33" s="22" t="s">
        <v>67</v>
      </c>
      <c r="B33" s="23" t="s">
        <v>23</v>
      </c>
      <c r="C33" s="42">
        <v>28761.0</v>
      </c>
      <c r="D33" s="25">
        <v>0.05</v>
      </c>
      <c r="E33" s="67">
        <v>0.0</v>
      </c>
      <c r="F33" s="34">
        <f t="shared" si="5"/>
        <v>1438.05</v>
      </c>
      <c r="G33" s="74"/>
      <c r="H33" s="93"/>
      <c r="I33" s="38"/>
      <c r="J33" s="38"/>
    </row>
    <row r="34" ht="14.25" customHeight="1">
      <c r="A34" s="39" t="s">
        <v>39</v>
      </c>
      <c r="B34" s="40"/>
      <c r="C34" s="42">
        <v>6000.0</v>
      </c>
      <c r="D34" s="40">
        <v>1.0</v>
      </c>
      <c r="E34" s="67">
        <v>0.0</v>
      </c>
      <c r="F34" s="34">
        <f t="shared" si="5"/>
        <v>6000</v>
      </c>
      <c r="G34" s="74"/>
      <c r="H34" s="93"/>
      <c r="I34" s="38"/>
      <c r="J34" s="38"/>
    </row>
    <row r="35" ht="14.25" customHeight="1">
      <c r="A35" s="43" t="s">
        <v>51</v>
      </c>
      <c r="B35" s="44"/>
      <c r="C35" s="46"/>
      <c r="D35" s="44"/>
      <c r="E35" s="44"/>
      <c r="F35" s="48">
        <f>SUM(F30:F34)</f>
        <v>24538.05</v>
      </c>
      <c r="G35" s="79"/>
      <c r="H35" s="98">
        <v>135000.0</v>
      </c>
      <c r="I35" s="110">
        <f>F35/H35</f>
        <v>0.1817633333</v>
      </c>
      <c r="J35" s="38"/>
    </row>
    <row r="36" ht="14.25" customHeight="1">
      <c r="A36" s="57" t="s">
        <v>177</v>
      </c>
      <c r="B36" s="3"/>
      <c r="C36" s="3"/>
      <c r="D36" s="3"/>
      <c r="E36" s="3"/>
      <c r="F36" s="3"/>
      <c r="G36" s="58"/>
      <c r="H36" s="86"/>
      <c r="I36" s="63"/>
      <c r="J36" s="63"/>
    </row>
    <row r="37" ht="14.25" customHeight="1">
      <c r="A37" s="22" t="s">
        <v>155</v>
      </c>
      <c r="B37" s="23" t="s">
        <v>156</v>
      </c>
      <c r="C37" s="24">
        <v>3400.0</v>
      </c>
      <c r="D37" s="25">
        <v>2.0</v>
      </c>
      <c r="E37" s="67">
        <v>0.0</v>
      </c>
      <c r="F37" s="34">
        <f t="shared" ref="F37:F41" si="6">C37*D37+C37*D37*E37</f>
        <v>6800</v>
      </c>
      <c r="G37" s="74"/>
      <c r="H37" s="93"/>
      <c r="I37" s="38"/>
      <c r="J37" s="38"/>
    </row>
    <row r="38" ht="14.25" customHeight="1">
      <c r="A38" s="22" t="s">
        <v>137</v>
      </c>
      <c r="B38" s="23" t="s">
        <v>74</v>
      </c>
      <c r="C38" s="24">
        <v>2800.0</v>
      </c>
      <c r="D38" s="25">
        <v>1.0</v>
      </c>
      <c r="E38" s="67">
        <v>0.0</v>
      </c>
      <c r="F38" s="34">
        <f t="shared" si="6"/>
        <v>2800</v>
      </c>
      <c r="G38" s="74"/>
      <c r="H38" s="93"/>
      <c r="I38" s="38"/>
      <c r="J38" s="38"/>
    </row>
    <row r="39" ht="14.25" customHeight="1">
      <c r="A39" s="22" t="s">
        <v>161</v>
      </c>
      <c r="B39" s="23" t="s">
        <v>23</v>
      </c>
      <c r="C39" s="24">
        <v>15000.0</v>
      </c>
      <c r="D39" s="25">
        <v>0.5</v>
      </c>
      <c r="E39" s="67">
        <v>0.0</v>
      </c>
      <c r="F39" s="34">
        <f t="shared" si="6"/>
        <v>7500</v>
      </c>
      <c r="G39" s="74"/>
      <c r="H39" s="93"/>
      <c r="I39" s="38"/>
      <c r="J39" s="38"/>
    </row>
    <row r="40" ht="14.25" customHeight="1">
      <c r="A40" s="22" t="s">
        <v>67</v>
      </c>
      <c r="B40" s="23" t="s">
        <v>23</v>
      </c>
      <c r="C40" s="42">
        <v>29000.0</v>
      </c>
      <c r="D40" s="25">
        <v>0.05</v>
      </c>
      <c r="E40" s="67">
        <v>0.0</v>
      </c>
      <c r="F40" s="34">
        <f t="shared" si="6"/>
        <v>1450</v>
      </c>
      <c r="G40" s="74"/>
      <c r="H40" s="93"/>
      <c r="I40" s="38"/>
      <c r="J40" s="38"/>
    </row>
    <row r="41" ht="14.25" customHeight="1">
      <c r="A41" s="39" t="s">
        <v>39</v>
      </c>
      <c r="B41" s="40"/>
      <c r="C41" s="42">
        <v>6000.0</v>
      </c>
      <c r="D41" s="40">
        <v>1.0</v>
      </c>
      <c r="E41" s="67">
        <v>0.0</v>
      </c>
      <c r="F41" s="34">
        <f t="shared" si="6"/>
        <v>6000</v>
      </c>
      <c r="G41" s="74"/>
      <c r="H41" s="93"/>
      <c r="I41" s="38"/>
      <c r="J41" s="38"/>
    </row>
    <row r="42" ht="14.25" customHeight="1">
      <c r="A42" s="43" t="s">
        <v>51</v>
      </c>
      <c r="B42" s="44"/>
      <c r="C42" s="46"/>
      <c r="D42" s="44"/>
      <c r="E42" s="44"/>
      <c r="F42" s="48">
        <f>SUM(F37:F41)</f>
        <v>24550</v>
      </c>
      <c r="G42" s="79"/>
      <c r="H42" s="98">
        <v>135000.0</v>
      </c>
      <c r="I42" s="110">
        <f>F42/H42</f>
        <v>0.1818518519</v>
      </c>
      <c r="J42" s="38"/>
    </row>
    <row r="43" ht="14.25" customHeight="1">
      <c r="A43" s="57" t="s">
        <v>189</v>
      </c>
      <c r="B43" s="3"/>
      <c r="C43" s="3"/>
      <c r="D43" s="3"/>
      <c r="E43" s="3"/>
      <c r="F43" s="3"/>
      <c r="G43" s="58"/>
      <c r="H43" s="86"/>
      <c r="I43" s="63"/>
      <c r="J43" s="63"/>
    </row>
    <row r="44" ht="14.25" customHeight="1">
      <c r="A44" s="22" t="s">
        <v>137</v>
      </c>
      <c r="B44" s="23" t="s">
        <v>74</v>
      </c>
      <c r="C44" s="24">
        <v>2800.0</v>
      </c>
      <c r="D44" s="25">
        <v>2.0</v>
      </c>
      <c r="E44" s="67">
        <v>0.0</v>
      </c>
      <c r="F44" s="34">
        <f t="shared" ref="F44:F45" si="7">C44*D44+C44*D44*E44</f>
        <v>5600</v>
      </c>
      <c r="G44" s="74"/>
      <c r="H44" s="93"/>
      <c r="I44" s="38"/>
      <c r="J44" s="38"/>
    </row>
    <row r="45" ht="14.25" customHeight="1">
      <c r="A45" s="39" t="s">
        <v>39</v>
      </c>
      <c r="B45" s="40"/>
      <c r="C45" s="42">
        <v>6000.0</v>
      </c>
      <c r="D45" s="40">
        <v>1.0</v>
      </c>
      <c r="E45" s="67">
        <v>0.0</v>
      </c>
      <c r="F45" s="34">
        <f t="shared" si="7"/>
        <v>6000</v>
      </c>
      <c r="G45" s="74"/>
      <c r="H45" s="93"/>
      <c r="I45" s="38"/>
      <c r="J45" s="38"/>
    </row>
    <row r="46" ht="14.25" customHeight="1">
      <c r="A46" s="43" t="s">
        <v>51</v>
      </c>
      <c r="B46" s="44"/>
      <c r="C46" s="46"/>
      <c r="D46" s="44"/>
      <c r="E46" s="44"/>
      <c r="F46" s="48">
        <f>SUM(F44:F45)</f>
        <v>11600</v>
      </c>
      <c r="G46" s="79"/>
      <c r="H46" s="98">
        <v>65000.0</v>
      </c>
      <c r="I46" s="110">
        <f>F46/H46</f>
        <v>0.1784615385</v>
      </c>
      <c r="J46" s="38"/>
    </row>
    <row r="47" ht="14.25" customHeight="1">
      <c r="A47" s="57" t="s">
        <v>198</v>
      </c>
      <c r="B47" s="3"/>
      <c r="C47" s="3"/>
      <c r="D47" s="3"/>
      <c r="E47" s="3"/>
      <c r="F47" s="3"/>
      <c r="G47" s="58"/>
      <c r="H47" s="86"/>
      <c r="I47" s="63"/>
      <c r="J47" s="63"/>
    </row>
    <row r="48" ht="14.25" customHeight="1">
      <c r="A48" s="22" t="s">
        <v>137</v>
      </c>
      <c r="B48" s="23" t="s">
        <v>74</v>
      </c>
      <c r="C48" s="24">
        <v>2800.0</v>
      </c>
      <c r="D48" s="25">
        <v>3.0</v>
      </c>
      <c r="E48" s="67">
        <v>0.0</v>
      </c>
      <c r="F48" s="34">
        <f t="shared" ref="F48:F49" si="8">C48*D48+C48*D48*E48</f>
        <v>8400</v>
      </c>
      <c r="G48" s="74"/>
      <c r="H48" s="93"/>
      <c r="I48" s="38"/>
      <c r="J48" s="38"/>
    </row>
    <row r="49" ht="14.25" customHeight="1">
      <c r="A49" s="39" t="s">
        <v>39</v>
      </c>
      <c r="B49" s="40"/>
      <c r="C49" s="42">
        <v>10000.0</v>
      </c>
      <c r="D49" s="40">
        <v>1.0</v>
      </c>
      <c r="E49" s="67">
        <v>0.0</v>
      </c>
      <c r="F49" s="34">
        <f t="shared" si="8"/>
        <v>10000</v>
      </c>
      <c r="G49" s="74"/>
      <c r="H49" s="93"/>
      <c r="I49" s="38"/>
      <c r="J49" s="38"/>
    </row>
    <row r="50" ht="14.25" customHeight="1">
      <c r="A50" s="43" t="s">
        <v>51</v>
      </c>
      <c r="B50" s="44"/>
      <c r="C50" s="46"/>
      <c r="D50" s="44"/>
      <c r="E50" s="44"/>
      <c r="F50" s="48">
        <f>SUM(F48:F49)</f>
        <v>18400</v>
      </c>
      <c r="G50" s="79"/>
      <c r="H50" s="98">
        <v>75000.0</v>
      </c>
      <c r="I50" s="110">
        <f>F50/H50</f>
        <v>0.2453333333</v>
      </c>
      <c r="J50" s="38"/>
    </row>
    <row r="51" ht="14.25" customHeight="1">
      <c r="A51" s="57" t="s">
        <v>210</v>
      </c>
      <c r="B51" s="3"/>
      <c r="C51" s="3"/>
      <c r="D51" s="3"/>
      <c r="E51" s="3"/>
      <c r="F51" s="3"/>
      <c r="G51" s="58"/>
      <c r="H51" s="86"/>
      <c r="I51" s="63"/>
      <c r="J51" s="63"/>
    </row>
    <row r="52" ht="14.25" customHeight="1">
      <c r="A52" s="22" t="s">
        <v>216</v>
      </c>
      <c r="B52" s="23" t="s">
        <v>8</v>
      </c>
      <c r="C52" s="24">
        <v>180000.0</v>
      </c>
      <c r="D52" s="25">
        <v>0.2</v>
      </c>
      <c r="E52" s="67">
        <v>0.0</v>
      </c>
      <c r="F52" s="34">
        <f t="shared" ref="F52:F53" si="9">C52*D52+C52*D52*E52</f>
        <v>36000</v>
      </c>
      <c r="G52" s="74"/>
      <c r="H52" s="93"/>
      <c r="I52" s="38"/>
      <c r="J52" s="38"/>
    </row>
    <row r="53" ht="14.25" customHeight="1">
      <c r="A53" s="39" t="s">
        <v>39</v>
      </c>
      <c r="B53" s="40"/>
      <c r="C53" s="42">
        <v>6000.0</v>
      </c>
      <c r="D53" s="40">
        <v>1.0</v>
      </c>
      <c r="E53" s="67">
        <v>0.0</v>
      </c>
      <c r="F53" s="34">
        <f t="shared" si="9"/>
        <v>6000</v>
      </c>
      <c r="G53" s="74"/>
      <c r="H53" s="93"/>
      <c r="I53" s="38"/>
      <c r="J53" s="38"/>
    </row>
    <row r="54" ht="14.25" customHeight="1">
      <c r="A54" s="43" t="s">
        <v>51</v>
      </c>
      <c r="B54" s="44"/>
      <c r="C54" s="46"/>
      <c r="D54" s="44"/>
      <c r="E54" s="44"/>
      <c r="F54" s="48">
        <f>SUM(F52:F53)</f>
        <v>42000</v>
      </c>
      <c r="G54" s="79"/>
      <c r="H54" s="98">
        <v>95000.0</v>
      </c>
      <c r="I54" s="110">
        <f>F54/H54</f>
        <v>0.4421052632</v>
      </c>
      <c r="J54" s="38"/>
    </row>
    <row r="55" ht="14.25" customHeight="1">
      <c r="A55" s="57" t="s">
        <v>232</v>
      </c>
      <c r="B55" s="3"/>
      <c r="C55" s="3"/>
      <c r="D55" s="3"/>
      <c r="E55" s="3"/>
      <c r="F55" s="3"/>
      <c r="G55" s="58"/>
      <c r="H55" s="86"/>
      <c r="I55" s="63"/>
      <c r="J55" s="63"/>
    </row>
    <row r="56" ht="14.25" customHeight="1">
      <c r="A56" s="22" t="s">
        <v>161</v>
      </c>
      <c r="B56" s="23" t="s">
        <v>8</v>
      </c>
      <c r="C56" s="24">
        <v>30000.0</v>
      </c>
      <c r="D56" s="25">
        <v>0.5</v>
      </c>
      <c r="E56" s="67">
        <v>0.0</v>
      </c>
      <c r="F56" s="34">
        <f t="shared" ref="F56:F57" si="10">C56*D56+C56*D56*E56</f>
        <v>15000</v>
      </c>
      <c r="G56" s="74"/>
      <c r="H56" s="93"/>
      <c r="I56" s="38"/>
      <c r="J56" s="38"/>
    </row>
    <row r="57" ht="14.25" customHeight="1">
      <c r="A57" s="39" t="s">
        <v>39</v>
      </c>
      <c r="B57" s="40"/>
      <c r="C57" s="42">
        <v>8000.0</v>
      </c>
      <c r="D57" s="40">
        <v>1.0</v>
      </c>
      <c r="E57" s="67">
        <v>0.0</v>
      </c>
      <c r="F57" s="34">
        <f t="shared" si="10"/>
        <v>8000</v>
      </c>
      <c r="G57" s="74"/>
      <c r="H57" s="93"/>
      <c r="I57" s="38"/>
      <c r="J57" s="38"/>
    </row>
    <row r="58" ht="14.25" customHeight="1">
      <c r="A58" s="43" t="s">
        <v>51</v>
      </c>
      <c r="B58" s="44"/>
      <c r="C58" s="46"/>
      <c r="D58" s="44"/>
      <c r="E58" s="44"/>
      <c r="F58" s="48">
        <f>SUM(F56:F57)</f>
        <v>23000</v>
      </c>
      <c r="G58" s="79"/>
      <c r="H58" s="98">
        <v>95000.0</v>
      </c>
      <c r="I58" s="110">
        <f>F58/H58</f>
        <v>0.2421052632</v>
      </c>
      <c r="J58" s="38"/>
    </row>
    <row r="59" ht="14.25" customHeight="1">
      <c r="A59" s="57" t="s">
        <v>244</v>
      </c>
      <c r="B59" s="3"/>
      <c r="C59" s="3"/>
      <c r="D59" s="3"/>
      <c r="E59" s="3"/>
      <c r="F59" s="3"/>
      <c r="G59" s="58"/>
      <c r="H59" s="86"/>
      <c r="I59" s="63"/>
      <c r="J59" s="63"/>
    </row>
    <row r="60" ht="14.25" customHeight="1">
      <c r="A60" s="22" t="s">
        <v>250</v>
      </c>
      <c r="B60" s="23" t="s">
        <v>8</v>
      </c>
      <c r="C60" s="24">
        <v>15000.0</v>
      </c>
      <c r="D60" s="25">
        <v>0.5</v>
      </c>
      <c r="E60" s="67">
        <v>0.0</v>
      </c>
      <c r="F60" s="34">
        <f t="shared" ref="F60:F61" si="11">C60*D60+C60*D60*E60</f>
        <v>7500</v>
      </c>
      <c r="G60" s="74"/>
      <c r="H60" s="93"/>
      <c r="I60" s="38"/>
      <c r="J60" s="38"/>
    </row>
    <row r="61" ht="14.25" customHeight="1">
      <c r="A61" s="39" t="s">
        <v>39</v>
      </c>
      <c r="B61" s="40"/>
      <c r="C61" s="42">
        <v>8000.0</v>
      </c>
      <c r="D61" s="40">
        <v>1.0</v>
      </c>
      <c r="E61" s="67">
        <v>0.0</v>
      </c>
      <c r="F61" s="34">
        <f t="shared" si="11"/>
        <v>8000</v>
      </c>
      <c r="G61" s="74"/>
      <c r="H61" s="93"/>
      <c r="I61" s="38"/>
      <c r="J61" s="38"/>
    </row>
    <row r="62" ht="14.25" customHeight="1">
      <c r="A62" s="43" t="s">
        <v>51</v>
      </c>
      <c r="B62" s="44"/>
      <c r="C62" s="46"/>
      <c r="D62" s="44"/>
      <c r="E62" s="44"/>
      <c r="F62" s="48">
        <f>SUM(F60:F61)</f>
        <v>15500</v>
      </c>
      <c r="G62" s="79"/>
      <c r="H62" s="98">
        <v>75000.0</v>
      </c>
      <c r="I62" s="110">
        <f>F62/H62</f>
        <v>0.2066666667</v>
      </c>
      <c r="J62" s="38"/>
    </row>
    <row r="63" ht="14.25" customHeight="1">
      <c r="A63" s="57" t="s">
        <v>260</v>
      </c>
      <c r="B63" s="3"/>
      <c r="C63" s="3"/>
      <c r="D63" s="3"/>
      <c r="E63" s="3"/>
      <c r="F63" s="3"/>
      <c r="G63" s="58"/>
      <c r="H63" s="86"/>
      <c r="I63" s="63"/>
      <c r="J63" s="63"/>
    </row>
    <row r="64" ht="14.25" customHeight="1">
      <c r="A64" s="22" t="s">
        <v>261</v>
      </c>
      <c r="B64" s="23" t="s">
        <v>23</v>
      </c>
      <c r="C64" s="24">
        <v>25000.0</v>
      </c>
      <c r="D64" s="25">
        <v>0.3</v>
      </c>
      <c r="E64" s="67">
        <v>0.0</v>
      </c>
      <c r="F64" s="34">
        <f t="shared" ref="F64:F69" si="12">C64*D64+C64*D64*E64</f>
        <v>7500</v>
      </c>
      <c r="G64" s="74"/>
      <c r="H64" s="93"/>
      <c r="I64" s="38"/>
      <c r="J64" s="38"/>
    </row>
    <row r="65" ht="14.25" customHeight="1">
      <c r="A65" s="22" t="s">
        <v>262</v>
      </c>
      <c r="B65" s="23" t="s">
        <v>23</v>
      </c>
      <c r="C65" s="24">
        <v>35000.0</v>
      </c>
      <c r="D65" s="25">
        <v>0.3</v>
      </c>
      <c r="E65" s="67">
        <v>0.0</v>
      </c>
      <c r="F65" s="34">
        <f t="shared" si="12"/>
        <v>10500</v>
      </c>
      <c r="G65" s="74"/>
      <c r="H65" s="93"/>
      <c r="I65" s="38"/>
      <c r="J65" s="38"/>
    </row>
    <row r="66" ht="14.25" customHeight="1">
      <c r="A66" s="22" t="s">
        <v>273</v>
      </c>
      <c r="B66" s="23" t="s">
        <v>23</v>
      </c>
      <c r="C66" s="24">
        <v>30000.0</v>
      </c>
      <c r="D66" s="25">
        <v>0.3</v>
      </c>
      <c r="E66" s="67">
        <v>0.0</v>
      </c>
      <c r="F66" s="34">
        <f t="shared" si="12"/>
        <v>9000</v>
      </c>
      <c r="G66" s="74"/>
      <c r="H66" s="93"/>
      <c r="I66" s="38"/>
      <c r="J66" s="38"/>
    </row>
    <row r="67" ht="14.25" customHeight="1">
      <c r="A67" s="22" t="s">
        <v>78</v>
      </c>
      <c r="B67" s="23" t="s">
        <v>23</v>
      </c>
      <c r="C67" s="42">
        <v>15000.0</v>
      </c>
      <c r="D67" s="25">
        <v>0.3</v>
      </c>
      <c r="E67" s="67">
        <v>0.0</v>
      </c>
      <c r="F67" s="34">
        <f t="shared" si="12"/>
        <v>4500</v>
      </c>
      <c r="G67" s="74"/>
      <c r="H67" s="93"/>
      <c r="I67" s="38"/>
      <c r="J67" s="38"/>
    </row>
    <row r="68" ht="14.25" customHeight="1">
      <c r="A68" s="22" t="s">
        <v>274</v>
      </c>
      <c r="B68" s="23" t="s">
        <v>23</v>
      </c>
      <c r="C68" s="42">
        <v>30000.0</v>
      </c>
      <c r="D68" s="25">
        <v>0.3</v>
      </c>
      <c r="E68" s="67">
        <v>0.0</v>
      </c>
      <c r="F68" s="34">
        <f t="shared" si="12"/>
        <v>9000</v>
      </c>
      <c r="G68" s="74"/>
      <c r="H68" s="93"/>
      <c r="I68" s="38"/>
      <c r="J68" s="38"/>
    </row>
    <row r="69" ht="14.25" customHeight="1">
      <c r="A69" s="39" t="s">
        <v>39</v>
      </c>
      <c r="B69" s="40"/>
      <c r="C69" s="42">
        <v>6000.0</v>
      </c>
      <c r="D69" s="40">
        <v>1.0</v>
      </c>
      <c r="E69" s="67">
        <v>0.0</v>
      </c>
      <c r="F69" s="34">
        <f t="shared" si="12"/>
        <v>6000</v>
      </c>
      <c r="G69" s="74"/>
      <c r="H69" s="93"/>
      <c r="I69" s="38"/>
      <c r="J69" s="38"/>
    </row>
    <row r="70" ht="14.25" customHeight="1">
      <c r="A70" s="43" t="s">
        <v>51</v>
      </c>
      <c r="B70" s="44"/>
      <c r="C70" s="46"/>
      <c r="D70" s="44"/>
      <c r="E70" s="44"/>
      <c r="F70" s="48">
        <f>SUM(F64:F69)</f>
        <v>46500</v>
      </c>
      <c r="G70" s="79"/>
      <c r="H70" s="98">
        <v>135000.0</v>
      </c>
      <c r="I70" s="110">
        <f>F70/H70</f>
        <v>0.3444444444</v>
      </c>
      <c r="J70" s="38"/>
    </row>
    <row r="71" ht="14.25" customHeight="1">
      <c r="A71" s="57" t="s">
        <v>275</v>
      </c>
      <c r="B71" s="3"/>
      <c r="C71" s="3"/>
      <c r="D71" s="3"/>
      <c r="E71" s="3"/>
      <c r="F71" s="3"/>
      <c r="G71" s="58"/>
      <c r="H71" s="86"/>
      <c r="I71" s="63"/>
      <c r="J71" s="63"/>
    </row>
    <row r="72" ht="14.25" customHeight="1">
      <c r="A72" s="22" t="s">
        <v>250</v>
      </c>
      <c r="B72" s="23" t="s">
        <v>8</v>
      </c>
      <c r="C72" s="24">
        <v>15000.0</v>
      </c>
      <c r="D72" s="25">
        <v>0.5</v>
      </c>
      <c r="E72" s="67">
        <v>0.0</v>
      </c>
      <c r="F72" s="34">
        <f t="shared" ref="F72:F73" si="13">C72*D72+C72*D72*E72</f>
        <v>7500</v>
      </c>
      <c r="G72" s="74"/>
      <c r="H72" s="93"/>
      <c r="I72" s="38"/>
      <c r="J72" s="38"/>
    </row>
    <row r="73" ht="14.25" customHeight="1">
      <c r="A73" s="39" t="s">
        <v>39</v>
      </c>
      <c r="B73" s="40"/>
      <c r="C73" s="42">
        <v>8000.0</v>
      </c>
      <c r="D73" s="40">
        <v>1.0</v>
      </c>
      <c r="E73" s="67">
        <v>0.0</v>
      </c>
      <c r="F73" s="34">
        <f t="shared" si="13"/>
        <v>8000</v>
      </c>
      <c r="G73" s="74"/>
      <c r="H73" s="93"/>
      <c r="I73" s="38"/>
      <c r="J73" s="38"/>
    </row>
    <row r="74" ht="14.25" customHeight="1">
      <c r="A74" s="43" t="s">
        <v>51</v>
      </c>
      <c r="B74" s="44"/>
      <c r="C74" s="46"/>
      <c r="D74" s="44"/>
      <c r="E74" s="44"/>
      <c r="F74" s="48">
        <f>SUM(F72:F73)</f>
        <v>15500</v>
      </c>
      <c r="G74" s="79"/>
      <c r="H74" s="98">
        <v>65000.0</v>
      </c>
      <c r="I74" s="110">
        <f>F74/H74</f>
        <v>0.2384615385</v>
      </c>
      <c r="J74" s="38"/>
    </row>
    <row r="75" ht="14.25" customHeight="1">
      <c r="A75" s="57" t="s">
        <v>277</v>
      </c>
      <c r="B75" s="3"/>
      <c r="C75" s="3"/>
      <c r="D75" s="3"/>
      <c r="E75" s="3"/>
      <c r="F75" s="3"/>
      <c r="G75" s="58"/>
      <c r="H75" s="86"/>
      <c r="I75" s="63"/>
      <c r="J75" s="63"/>
    </row>
    <row r="76" ht="14.25" customHeight="1">
      <c r="A76" s="22" t="s">
        <v>137</v>
      </c>
      <c r="B76" s="23" t="s">
        <v>74</v>
      </c>
      <c r="C76" s="24">
        <v>2800.0</v>
      </c>
      <c r="D76" s="25">
        <v>1.0</v>
      </c>
      <c r="E76" s="67">
        <v>0.0</v>
      </c>
      <c r="F76" s="34">
        <f t="shared" ref="F76:F81" si="14">C76*D76+C76*D76*E76</f>
        <v>2800</v>
      </c>
      <c r="G76" s="74"/>
      <c r="H76" s="93"/>
      <c r="I76" s="38"/>
      <c r="J76" s="38"/>
    </row>
    <row r="77" ht="14.25" customHeight="1">
      <c r="A77" s="22" t="s">
        <v>262</v>
      </c>
      <c r="B77" s="23" t="s">
        <v>23</v>
      </c>
      <c r="C77" s="24">
        <v>35000.0</v>
      </c>
      <c r="D77" s="25">
        <v>0.1</v>
      </c>
      <c r="E77" s="67">
        <v>0.0</v>
      </c>
      <c r="F77" s="34">
        <f t="shared" si="14"/>
        <v>3500</v>
      </c>
      <c r="G77" s="74"/>
      <c r="H77" s="93"/>
      <c r="I77" s="38"/>
      <c r="J77" s="38"/>
    </row>
    <row r="78" ht="14.25" customHeight="1">
      <c r="A78" s="22" t="s">
        <v>273</v>
      </c>
      <c r="B78" s="23" t="s">
        <v>23</v>
      </c>
      <c r="C78" s="24">
        <v>30000.0</v>
      </c>
      <c r="D78" s="25">
        <v>0.1</v>
      </c>
      <c r="E78" s="67">
        <v>0.0</v>
      </c>
      <c r="F78" s="34">
        <f t="shared" si="14"/>
        <v>3000</v>
      </c>
      <c r="G78" s="74"/>
      <c r="H78" s="93"/>
      <c r="I78" s="38"/>
      <c r="J78" s="38"/>
    </row>
    <row r="79" ht="14.25" customHeight="1">
      <c r="A79" s="22" t="s">
        <v>78</v>
      </c>
      <c r="B79" s="23" t="s">
        <v>23</v>
      </c>
      <c r="C79" s="42">
        <v>15000.0</v>
      </c>
      <c r="D79" s="25">
        <v>0.1</v>
      </c>
      <c r="E79" s="67">
        <v>0.0</v>
      </c>
      <c r="F79" s="34">
        <f t="shared" si="14"/>
        <v>1500</v>
      </c>
      <c r="G79" s="74"/>
      <c r="H79" s="93"/>
      <c r="I79" s="38"/>
      <c r="J79" s="38"/>
    </row>
    <row r="80" ht="14.25" customHeight="1">
      <c r="A80" s="22" t="s">
        <v>278</v>
      </c>
      <c r="B80" s="23" t="s">
        <v>23</v>
      </c>
      <c r="C80" s="42">
        <v>15000.0</v>
      </c>
      <c r="D80" s="25">
        <v>0.05</v>
      </c>
      <c r="E80" s="67">
        <v>0.0</v>
      </c>
      <c r="F80" s="34">
        <f t="shared" si="14"/>
        <v>750</v>
      </c>
      <c r="G80" s="74"/>
      <c r="H80" s="93"/>
      <c r="I80" s="38"/>
      <c r="J80" s="38"/>
    </row>
    <row r="81" ht="14.25" customHeight="1">
      <c r="A81" s="39" t="s">
        <v>39</v>
      </c>
      <c r="B81" s="40"/>
      <c r="C81" s="42">
        <v>6000.0</v>
      </c>
      <c r="D81" s="40">
        <v>1.0</v>
      </c>
      <c r="E81" s="67">
        <v>0.0</v>
      </c>
      <c r="F81" s="34">
        <f t="shared" si="14"/>
        <v>6000</v>
      </c>
      <c r="G81" s="74"/>
      <c r="H81" s="93"/>
      <c r="I81" s="38"/>
      <c r="J81" s="38"/>
    </row>
    <row r="82" ht="14.25" customHeight="1">
      <c r="A82" s="43" t="s">
        <v>51</v>
      </c>
      <c r="B82" s="44"/>
      <c r="C82" s="46"/>
      <c r="D82" s="44"/>
      <c r="E82" s="44"/>
      <c r="F82" s="48">
        <f>SUM(F76:F81)</f>
        <v>17550</v>
      </c>
      <c r="G82" s="79"/>
      <c r="H82" s="98">
        <v>135000.0</v>
      </c>
      <c r="I82" s="110">
        <f>F82/H82</f>
        <v>0.13</v>
      </c>
      <c r="J82" s="38"/>
    </row>
    <row r="83" ht="14.25" customHeight="1">
      <c r="A83" s="57" t="s">
        <v>279</v>
      </c>
      <c r="B83" s="3"/>
      <c r="C83" s="3"/>
      <c r="D83" s="3"/>
      <c r="E83" s="3"/>
      <c r="F83" s="3"/>
      <c r="G83" s="58"/>
      <c r="H83" s="59"/>
      <c r="I83" s="63"/>
      <c r="J83" s="63"/>
    </row>
    <row r="84" ht="14.25" customHeight="1">
      <c r="A84" s="22" t="s">
        <v>280</v>
      </c>
      <c r="B84" s="23" t="s">
        <v>23</v>
      </c>
      <c r="C84" s="24">
        <v>20973.0</v>
      </c>
      <c r="D84" s="25">
        <v>0.5</v>
      </c>
      <c r="E84" s="67">
        <v>0.0</v>
      </c>
      <c r="F84" s="34">
        <f t="shared" ref="F84:F86" si="15">C84*D84+C84*D84*E84</f>
        <v>10486.5</v>
      </c>
      <c r="G84" s="74"/>
      <c r="H84" s="70"/>
      <c r="I84" s="38"/>
      <c r="J84" s="38"/>
    </row>
    <row r="85" ht="14.25" customHeight="1">
      <c r="A85" s="22" t="s">
        <v>137</v>
      </c>
      <c r="B85" s="23" t="s">
        <v>74</v>
      </c>
      <c r="C85" s="24">
        <v>2800.0</v>
      </c>
      <c r="D85" s="25">
        <v>1.0</v>
      </c>
      <c r="E85" s="67">
        <v>0.0</v>
      </c>
      <c r="F85" s="34">
        <f t="shared" si="15"/>
        <v>2800</v>
      </c>
      <c r="G85" s="74"/>
      <c r="H85" s="70"/>
      <c r="I85" s="38"/>
      <c r="J85" s="38"/>
    </row>
    <row r="86" ht="14.25" customHeight="1">
      <c r="A86" s="39" t="s">
        <v>39</v>
      </c>
      <c r="B86" s="139"/>
      <c r="C86" s="141">
        <v>12000.0</v>
      </c>
      <c r="D86" s="139">
        <v>1.0</v>
      </c>
      <c r="E86" s="142">
        <v>0.0</v>
      </c>
      <c r="F86" s="143">
        <f t="shared" si="15"/>
        <v>12000</v>
      </c>
      <c r="G86" s="74"/>
      <c r="H86" s="70"/>
      <c r="I86" s="38"/>
      <c r="J86" s="38"/>
    </row>
    <row r="87" ht="14.25" customHeight="1">
      <c r="A87" s="43" t="s">
        <v>51</v>
      </c>
      <c r="B87" s="44"/>
      <c r="C87" s="46"/>
      <c r="D87" s="44"/>
      <c r="E87" s="44"/>
      <c r="F87" s="48">
        <f>SUM(F84:F85)</f>
        <v>13286.5</v>
      </c>
      <c r="G87" s="79"/>
      <c r="H87" s="81">
        <v>105000.0</v>
      </c>
      <c r="I87" s="110">
        <f>F87/H87</f>
        <v>0.1265380952</v>
      </c>
      <c r="J87" s="54"/>
    </row>
    <row r="88" ht="14.25" customHeight="1">
      <c r="A88" s="57" t="s">
        <v>282</v>
      </c>
      <c r="B88" s="3"/>
      <c r="C88" s="3"/>
      <c r="D88" s="3"/>
      <c r="E88" s="3"/>
      <c r="F88" s="3"/>
      <c r="G88" s="58"/>
      <c r="H88" s="59"/>
      <c r="I88" s="63"/>
      <c r="J88" s="63"/>
    </row>
    <row r="89" ht="14.25" customHeight="1">
      <c r="A89" s="22" t="s">
        <v>21</v>
      </c>
      <c r="B89" s="23" t="s">
        <v>23</v>
      </c>
      <c r="C89" s="24">
        <v>25000.0</v>
      </c>
      <c r="D89" s="25">
        <v>0.5</v>
      </c>
      <c r="E89" s="67">
        <v>0.0</v>
      </c>
      <c r="F89" s="34">
        <f t="shared" ref="F89:F91" si="16">C89*D89+C89*D89*E89</f>
        <v>12500</v>
      </c>
      <c r="G89" s="74"/>
      <c r="H89" s="70"/>
      <c r="I89" s="38"/>
      <c r="J89" s="38"/>
    </row>
    <row r="90" ht="14.25" customHeight="1">
      <c r="A90" s="22" t="s">
        <v>283</v>
      </c>
      <c r="B90" s="23" t="s">
        <v>8</v>
      </c>
      <c r="C90" s="24">
        <v>55000.0</v>
      </c>
      <c r="D90" s="25">
        <v>0.1</v>
      </c>
      <c r="E90" s="67">
        <v>0.0</v>
      </c>
      <c r="F90" s="34">
        <f t="shared" si="16"/>
        <v>5500</v>
      </c>
      <c r="G90" s="74"/>
      <c r="H90" s="70"/>
      <c r="I90" s="38"/>
      <c r="J90" s="38"/>
    </row>
    <row r="91" ht="14.25" customHeight="1">
      <c r="A91" s="39" t="s">
        <v>39</v>
      </c>
      <c r="B91" s="139"/>
      <c r="C91" s="141">
        <v>6000.0</v>
      </c>
      <c r="D91" s="139">
        <v>1.0</v>
      </c>
      <c r="E91" s="142">
        <v>0.0</v>
      </c>
      <c r="F91" s="143">
        <f t="shared" si="16"/>
        <v>6000</v>
      </c>
      <c r="G91" s="74"/>
      <c r="H91" s="70"/>
      <c r="I91" s="38"/>
      <c r="J91" s="38"/>
    </row>
    <row r="92" ht="14.25" customHeight="1">
      <c r="A92" s="43" t="s">
        <v>51</v>
      </c>
      <c r="B92" s="44"/>
      <c r="C92" s="46"/>
      <c r="D92" s="44"/>
      <c r="E92" s="44"/>
      <c r="F92" s="48">
        <f>SUM(F89:F90)</f>
        <v>18000</v>
      </c>
      <c r="G92" s="79"/>
      <c r="H92" s="81">
        <v>105000.0</v>
      </c>
      <c r="I92" s="110">
        <f>F92/H92</f>
        <v>0.1714285714</v>
      </c>
      <c r="J92" s="54"/>
    </row>
    <row r="93" ht="14.25" customHeight="1">
      <c r="A93" s="57" t="s">
        <v>284</v>
      </c>
      <c r="B93" s="3"/>
      <c r="C93" s="3"/>
      <c r="D93" s="3"/>
      <c r="E93" s="3"/>
      <c r="F93" s="3"/>
      <c r="G93" s="58"/>
      <c r="H93" s="86"/>
      <c r="I93" s="63"/>
      <c r="J93" s="63"/>
    </row>
    <row r="94" ht="14.25" customHeight="1">
      <c r="A94" s="22" t="s">
        <v>286</v>
      </c>
      <c r="B94" s="23" t="s">
        <v>8</v>
      </c>
      <c r="C94" s="24">
        <v>22000.0</v>
      </c>
      <c r="D94" s="25">
        <v>0.15</v>
      </c>
      <c r="E94" s="67">
        <v>0.0</v>
      </c>
      <c r="F94" s="34">
        <f t="shared" ref="F94:F98" si="17">C94*D94+C94*D94*E94</f>
        <v>3300</v>
      </c>
      <c r="G94" s="74"/>
      <c r="H94" s="93"/>
      <c r="I94" s="38"/>
      <c r="J94" s="38"/>
    </row>
    <row r="95" ht="14.25" customHeight="1">
      <c r="A95" s="22" t="s">
        <v>274</v>
      </c>
      <c r="B95" s="23" t="s">
        <v>23</v>
      </c>
      <c r="C95" s="24">
        <v>30000.0</v>
      </c>
      <c r="D95" s="25">
        <v>0.15</v>
      </c>
      <c r="E95" s="67">
        <v>0.0</v>
      </c>
      <c r="F95" s="34">
        <f t="shared" si="17"/>
        <v>4500</v>
      </c>
      <c r="G95" s="74"/>
      <c r="H95" s="93"/>
      <c r="I95" s="38"/>
      <c r="J95" s="38"/>
    </row>
    <row r="96" ht="14.25" customHeight="1">
      <c r="A96" s="22" t="s">
        <v>21</v>
      </c>
      <c r="B96" s="23" t="s">
        <v>23</v>
      </c>
      <c r="C96" s="24">
        <v>25000.0</v>
      </c>
      <c r="D96" s="25">
        <v>0.15</v>
      </c>
      <c r="E96" s="67">
        <v>0.0</v>
      </c>
      <c r="F96" s="34">
        <f t="shared" si="17"/>
        <v>3750</v>
      </c>
      <c r="G96" s="74"/>
      <c r="H96" s="93"/>
      <c r="I96" s="38"/>
      <c r="J96" s="38"/>
    </row>
    <row r="97" ht="14.25" customHeight="1">
      <c r="A97" s="22" t="s">
        <v>78</v>
      </c>
      <c r="B97" s="23" t="s">
        <v>23</v>
      </c>
      <c r="C97" s="42">
        <v>15000.0</v>
      </c>
      <c r="D97" s="25">
        <v>0.15</v>
      </c>
      <c r="E97" s="67">
        <v>0.0</v>
      </c>
      <c r="F97" s="34">
        <f t="shared" si="17"/>
        <v>2250</v>
      </c>
      <c r="G97" s="74"/>
      <c r="H97" s="93"/>
      <c r="I97" s="38"/>
      <c r="J97" s="38"/>
    </row>
    <row r="98" ht="14.25" customHeight="1">
      <c r="A98" s="39" t="s">
        <v>39</v>
      </c>
      <c r="B98" s="40"/>
      <c r="C98" s="42">
        <v>6000.0</v>
      </c>
      <c r="D98" s="40">
        <v>1.0</v>
      </c>
      <c r="E98" s="67">
        <v>0.0</v>
      </c>
      <c r="F98" s="34">
        <f t="shared" si="17"/>
        <v>6000</v>
      </c>
      <c r="G98" s="74"/>
      <c r="H98" s="93"/>
      <c r="I98" s="38"/>
      <c r="J98" s="38"/>
    </row>
    <row r="99" ht="14.25" customHeight="1">
      <c r="A99" s="43" t="s">
        <v>51</v>
      </c>
      <c r="B99" s="44"/>
      <c r="C99" s="46"/>
      <c r="D99" s="44"/>
      <c r="E99" s="44"/>
      <c r="F99" s="48">
        <f>SUM(F94:F98)</f>
        <v>19800</v>
      </c>
      <c r="G99" s="79"/>
      <c r="H99" s="98">
        <v>105000.0</v>
      </c>
      <c r="I99" s="110">
        <f>F99/H99</f>
        <v>0.1885714286</v>
      </c>
      <c r="J99" s="38"/>
    </row>
    <row r="100" ht="14.25" customHeight="1">
      <c r="A100" s="57" t="s">
        <v>292</v>
      </c>
      <c r="B100" s="3"/>
      <c r="C100" s="3"/>
      <c r="D100" s="3"/>
      <c r="E100" s="3"/>
      <c r="F100" s="3"/>
      <c r="G100" s="58"/>
      <c r="H100" s="59"/>
      <c r="I100" s="38"/>
      <c r="J100" s="63"/>
    </row>
    <row r="101" ht="14.25" customHeight="1">
      <c r="A101" s="91" t="s">
        <v>137</v>
      </c>
      <c r="B101" s="92" t="s">
        <v>74</v>
      </c>
      <c r="C101" s="24">
        <v>2800.0</v>
      </c>
      <c r="D101" s="92">
        <v>3.0</v>
      </c>
      <c r="E101" s="67">
        <v>0.0</v>
      </c>
      <c r="F101" s="34">
        <f t="shared" ref="F101:F109" si="18">C101*D101+C101*D101*E101</f>
        <v>8400</v>
      </c>
      <c r="G101" s="74"/>
      <c r="H101" s="70"/>
      <c r="I101" s="38"/>
      <c r="J101" s="38"/>
    </row>
    <row r="102" ht="14.25" customHeight="1">
      <c r="A102" s="91" t="s">
        <v>216</v>
      </c>
      <c r="B102" s="92" t="s">
        <v>23</v>
      </c>
      <c r="C102" s="24">
        <v>180000.0</v>
      </c>
      <c r="D102" s="92">
        <v>0.2</v>
      </c>
      <c r="E102" s="67">
        <v>0.0</v>
      </c>
      <c r="F102" s="34">
        <f t="shared" si="18"/>
        <v>36000</v>
      </c>
      <c r="G102" s="74"/>
      <c r="H102" s="70"/>
      <c r="I102" s="38"/>
      <c r="J102" s="38"/>
    </row>
    <row r="103" ht="14.25" customHeight="1">
      <c r="A103" s="91" t="s">
        <v>296</v>
      </c>
      <c r="B103" s="92" t="s">
        <v>23</v>
      </c>
      <c r="C103" s="24">
        <v>60000.0</v>
      </c>
      <c r="D103" s="92">
        <v>0.2</v>
      </c>
      <c r="E103" s="67">
        <v>0.0</v>
      </c>
      <c r="F103" s="34">
        <f t="shared" si="18"/>
        <v>12000</v>
      </c>
      <c r="G103" s="74"/>
      <c r="H103" s="70"/>
      <c r="I103" s="38"/>
      <c r="J103" s="38"/>
    </row>
    <row r="104" ht="14.25" customHeight="1">
      <c r="A104" s="91" t="s">
        <v>298</v>
      </c>
      <c r="B104" s="92" t="s">
        <v>23</v>
      </c>
      <c r="C104" s="24">
        <v>90000.0</v>
      </c>
      <c r="D104" s="92">
        <v>0.2</v>
      </c>
      <c r="E104" s="67">
        <v>0.0</v>
      </c>
      <c r="F104" s="34">
        <f t="shared" si="18"/>
        <v>18000</v>
      </c>
      <c r="G104" s="74"/>
      <c r="H104" s="70"/>
      <c r="I104" s="38"/>
      <c r="J104" s="38"/>
    </row>
    <row r="105" ht="14.25" customHeight="1">
      <c r="A105" s="91" t="s">
        <v>299</v>
      </c>
      <c r="B105" s="92" t="s">
        <v>23</v>
      </c>
      <c r="C105" s="24">
        <v>25000.0</v>
      </c>
      <c r="D105" s="92">
        <v>0.3</v>
      </c>
      <c r="E105" s="67">
        <v>0.0</v>
      </c>
      <c r="F105" s="34">
        <f t="shared" si="18"/>
        <v>7500</v>
      </c>
      <c r="G105" s="74"/>
      <c r="H105" s="70"/>
      <c r="I105" s="38"/>
      <c r="J105" s="38"/>
    </row>
    <row r="106" ht="14.25" customHeight="1">
      <c r="A106" s="91" t="s">
        <v>300</v>
      </c>
      <c r="B106" s="92" t="s">
        <v>23</v>
      </c>
      <c r="C106" s="24">
        <v>45000.0</v>
      </c>
      <c r="D106" s="92">
        <v>0.3</v>
      </c>
      <c r="E106" s="67">
        <v>0.0</v>
      </c>
      <c r="F106" s="34">
        <f t="shared" si="18"/>
        <v>13500</v>
      </c>
      <c r="G106" s="74"/>
      <c r="H106" s="70"/>
      <c r="I106" s="38"/>
      <c r="J106" s="38"/>
    </row>
    <row r="107" ht="14.25" customHeight="1">
      <c r="A107" s="91" t="s">
        <v>199</v>
      </c>
      <c r="B107" s="92" t="s">
        <v>23</v>
      </c>
      <c r="C107" s="24">
        <v>15000.0</v>
      </c>
      <c r="D107" s="92">
        <v>0.3</v>
      </c>
      <c r="E107" s="67">
        <v>0.0</v>
      </c>
      <c r="F107" s="34">
        <f t="shared" si="18"/>
        <v>4500</v>
      </c>
      <c r="G107" s="74"/>
      <c r="H107" s="70"/>
      <c r="I107" s="38"/>
      <c r="J107" s="38"/>
    </row>
    <row r="108" ht="14.25" customHeight="1">
      <c r="A108" s="91" t="s">
        <v>297</v>
      </c>
      <c r="B108" s="92" t="s">
        <v>105</v>
      </c>
      <c r="C108" s="24">
        <v>3500.0</v>
      </c>
      <c r="D108" s="92">
        <v>3.0</v>
      </c>
      <c r="E108" s="67">
        <v>0.0</v>
      </c>
      <c r="F108" s="34">
        <f t="shared" si="18"/>
        <v>10500</v>
      </c>
      <c r="G108" s="74"/>
      <c r="H108" s="70"/>
      <c r="I108" s="38"/>
      <c r="J108" s="38"/>
    </row>
    <row r="109" ht="14.25" customHeight="1">
      <c r="A109" s="39" t="s">
        <v>39</v>
      </c>
      <c r="B109" s="40"/>
      <c r="C109" s="42">
        <v>8500.0</v>
      </c>
      <c r="D109" s="40">
        <v>1.0</v>
      </c>
      <c r="E109" s="67">
        <v>0.0</v>
      </c>
      <c r="F109" s="34">
        <f t="shared" si="18"/>
        <v>8500</v>
      </c>
      <c r="G109" s="74"/>
      <c r="H109" s="70"/>
      <c r="I109" s="38"/>
      <c r="J109" s="38"/>
    </row>
    <row r="110" ht="14.25" customHeight="1">
      <c r="A110" s="43" t="s">
        <v>51</v>
      </c>
      <c r="B110" s="44"/>
      <c r="C110" s="46"/>
      <c r="D110" s="44"/>
      <c r="E110" s="44"/>
      <c r="F110" s="48">
        <f>SUM(F101:F109)</f>
        <v>118900</v>
      </c>
      <c r="G110" s="79"/>
      <c r="H110" s="81">
        <v>375000.0</v>
      </c>
      <c r="I110" s="110">
        <f>F110/H110</f>
        <v>0.3170666667</v>
      </c>
      <c r="J110" s="54"/>
    </row>
    <row r="111" ht="14.25" customHeight="1">
      <c r="A111" s="57" t="s">
        <v>145</v>
      </c>
      <c r="B111" s="3"/>
      <c r="C111" s="3"/>
      <c r="D111" s="3"/>
      <c r="E111" s="3"/>
      <c r="F111" s="6"/>
      <c r="G111" s="74"/>
      <c r="H111" s="70"/>
      <c r="I111" s="38"/>
      <c r="J111" s="38"/>
    </row>
    <row r="112" ht="14.25" customHeight="1">
      <c r="A112" s="152" t="s">
        <v>146</v>
      </c>
      <c r="B112" s="153" t="s">
        <v>23</v>
      </c>
      <c r="C112" s="24">
        <v>19000.0</v>
      </c>
      <c r="D112" s="154">
        <v>0.2</v>
      </c>
      <c r="E112" s="67">
        <v>0.0</v>
      </c>
      <c r="F112" s="42">
        <f t="shared" ref="F112:F113" si="19">C112*D112+C112*D112*E112</f>
        <v>3800</v>
      </c>
      <c r="G112" s="74"/>
      <c r="H112" s="70"/>
      <c r="I112" s="38"/>
      <c r="J112" s="38"/>
    </row>
    <row r="113" ht="14.25" customHeight="1">
      <c r="A113" s="39" t="s">
        <v>39</v>
      </c>
      <c r="B113" s="40"/>
      <c r="C113" s="42">
        <v>6000.0</v>
      </c>
      <c r="D113" s="40">
        <v>1.0</v>
      </c>
      <c r="E113" s="67">
        <v>0.0</v>
      </c>
      <c r="F113" s="42">
        <f t="shared" si="19"/>
        <v>6000</v>
      </c>
      <c r="G113" s="74"/>
      <c r="H113" s="70"/>
      <c r="I113" s="38"/>
      <c r="J113" s="38"/>
    </row>
    <row r="114" ht="14.25" customHeight="1">
      <c r="A114" s="43" t="s">
        <v>51</v>
      </c>
      <c r="B114" s="44"/>
      <c r="C114" s="46"/>
      <c r="D114" s="44"/>
      <c r="E114" s="44"/>
      <c r="F114" s="156">
        <f>SUM(F112:F113)</f>
        <v>9800</v>
      </c>
      <c r="G114" s="79"/>
      <c r="H114" s="81">
        <v>30000.0</v>
      </c>
      <c r="I114" s="110">
        <f>F114/H114</f>
        <v>0.3266666667</v>
      </c>
      <c r="J114" s="54"/>
    </row>
    <row r="115" ht="14.25" customHeight="1">
      <c r="A115" s="13" t="s">
        <v>302</v>
      </c>
      <c r="B115" s="3"/>
      <c r="C115" s="3"/>
      <c r="D115" s="3"/>
      <c r="E115" s="3"/>
      <c r="F115" s="3"/>
      <c r="G115" s="3"/>
      <c r="H115" s="3"/>
      <c r="I115" s="3"/>
      <c r="J115" s="14"/>
    </row>
    <row r="116" ht="14.25" customHeight="1">
      <c r="A116" s="57" t="s">
        <v>303</v>
      </c>
      <c r="B116" s="3"/>
      <c r="C116" s="3"/>
      <c r="D116" s="3"/>
      <c r="E116" s="3"/>
      <c r="F116" s="3"/>
      <c r="G116" s="58"/>
      <c r="H116" s="59"/>
      <c r="I116" s="38"/>
      <c r="J116" s="63"/>
    </row>
    <row r="117" ht="14.25" customHeight="1">
      <c r="A117" s="91" t="s">
        <v>229</v>
      </c>
      <c r="B117" s="92" t="s">
        <v>8</v>
      </c>
      <c r="C117" s="24">
        <v>230000.0</v>
      </c>
      <c r="D117" s="92">
        <v>0.1</v>
      </c>
      <c r="E117" s="67">
        <v>0.0</v>
      </c>
      <c r="F117" s="34">
        <f t="shared" ref="F117:F123" si="20">C117*D117+C117*D117*E117</f>
        <v>23000</v>
      </c>
      <c r="G117" s="74"/>
      <c r="H117" s="70"/>
      <c r="I117" s="38"/>
      <c r="J117" s="38"/>
    </row>
    <row r="118" ht="14.25" customHeight="1">
      <c r="A118" s="91" t="s">
        <v>48</v>
      </c>
      <c r="B118" s="92" t="s">
        <v>23</v>
      </c>
      <c r="C118" s="24">
        <v>115000.0</v>
      </c>
      <c r="D118" s="92">
        <v>0.25</v>
      </c>
      <c r="E118" s="67">
        <v>0.0</v>
      </c>
      <c r="F118" s="34">
        <f t="shared" si="20"/>
        <v>28750</v>
      </c>
      <c r="G118" s="74"/>
      <c r="H118" s="70"/>
      <c r="I118" s="38"/>
      <c r="J118" s="38"/>
    </row>
    <row r="119" ht="14.25" customHeight="1">
      <c r="A119" s="91" t="s">
        <v>304</v>
      </c>
      <c r="B119" s="92" t="s">
        <v>23</v>
      </c>
      <c r="C119" s="24">
        <v>120000.0</v>
      </c>
      <c r="D119" s="92">
        <v>0.1</v>
      </c>
      <c r="E119" s="67">
        <v>0.0</v>
      </c>
      <c r="F119" s="34">
        <f t="shared" si="20"/>
        <v>12000</v>
      </c>
      <c r="G119" s="74"/>
      <c r="H119" s="70"/>
      <c r="I119" s="38"/>
      <c r="J119" s="38"/>
    </row>
    <row r="120" ht="14.25" customHeight="1">
      <c r="A120" s="91" t="s">
        <v>138</v>
      </c>
      <c r="B120" s="92" t="s">
        <v>23</v>
      </c>
      <c r="C120" s="24">
        <v>12000.0</v>
      </c>
      <c r="D120" s="92">
        <v>0.1</v>
      </c>
      <c r="E120" s="67">
        <v>0.0</v>
      </c>
      <c r="F120" s="34">
        <f t="shared" si="20"/>
        <v>1200</v>
      </c>
      <c r="G120" s="74"/>
      <c r="H120" s="70"/>
      <c r="I120" s="38"/>
      <c r="J120" s="38"/>
    </row>
    <row r="121" ht="14.25" customHeight="1">
      <c r="A121" s="91" t="s">
        <v>200</v>
      </c>
      <c r="B121" s="92" t="s">
        <v>23</v>
      </c>
      <c r="C121" s="24">
        <v>100000.0</v>
      </c>
      <c r="D121" s="92">
        <v>0.01</v>
      </c>
      <c r="E121" s="67">
        <v>0.0</v>
      </c>
      <c r="F121" s="34">
        <f t="shared" si="20"/>
        <v>1000</v>
      </c>
      <c r="G121" s="74"/>
      <c r="H121" s="70"/>
      <c r="I121" s="38"/>
      <c r="J121" s="38"/>
    </row>
    <row r="122" ht="14.25" customHeight="1">
      <c r="A122" s="91" t="s">
        <v>220</v>
      </c>
      <c r="B122" s="92" t="s">
        <v>23</v>
      </c>
      <c r="C122" s="24">
        <v>260000.0</v>
      </c>
      <c r="D122" s="92">
        <v>0.05</v>
      </c>
      <c r="E122" s="67">
        <v>0.0</v>
      </c>
      <c r="F122" s="34">
        <f t="shared" si="20"/>
        <v>13000</v>
      </c>
      <c r="G122" s="74"/>
      <c r="H122" s="70"/>
      <c r="I122" s="38"/>
      <c r="J122" s="38"/>
    </row>
    <row r="123" ht="14.25" customHeight="1">
      <c r="A123" s="39" t="s">
        <v>39</v>
      </c>
      <c r="B123" s="40"/>
      <c r="C123" s="42">
        <v>8000.0</v>
      </c>
      <c r="D123" s="40">
        <v>1.0</v>
      </c>
      <c r="E123" s="67">
        <v>0.0</v>
      </c>
      <c r="F123" s="34">
        <f t="shared" si="20"/>
        <v>8000</v>
      </c>
      <c r="G123" s="74"/>
      <c r="H123" s="70"/>
      <c r="I123" s="38"/>
      <c r="J123" s="38"/>
    </row>
    <row r="124" ht="14.25" customHeight="1">
      <c r="A124" s="43" t="s">
        <v>51</v>
      </c>
      <c r="B124" s="44"/>
      <c r="C124" s="46"/>
      <c r="D124" s="44"/>
      <c r="E124" s="44"/>
      <c r="F124" s="48">
        <f>SUM(F117:F123)</f>
        <v>86950</v>
      </c>
      <c r="G124" s="79"/>
      <c r="H124" s="81">
        <v>165000.0</v>
      </c>
      <c r="I124" s="163">
        <f>F124/H124</f>
        <v>0.526969697</v>
      </c>
      <c r="J124" s="54"/>
    </row>
    <row r="125" ht="14.25" customHeight="1">
      <c r="A125" s="57" t="s">
        <v>305</v>
      </c>
      <c r="B125" s="3"/>
      <c r="C125" s="3"/>
      <c r="D125" s="3"/>
      <c r="E125" s="3"/>
      <c r="F125" s="3"/>
      <c r="G125" s="58"/>
      <c r="H125" s="86"/>
      <c r="I125" s="61"/>
      <c r="J125" s="63"/>
    </row>
    <row r="126" ht="14.25" customHeight="1">
      <c r="A126" s="22" t="s">
        <v>46</v>
      </c>
      <c r="B126" s="23" t="s">
        <v>23</v>
      </c>
      <c r="C126" s="24">
        <v>120000.0</v>
      </c>
      <c r="D126" s="23">
        <v>0.1</v>
      </c>
      <c r="E126" s="67">
        <v>0.0</v>
      </c>
      <c r="F126" s="34">
        <f t="shared" ref="F126:F130" si="21">C126*D126+C126*D126*E126</f>
        <v>12000</v>
      </c>
      <c r="G126" s="74"/>
      <c r="H126" s="93"/>
      <c r="I126" s="52"/>
      <c r="J126" s="38"/>
    </row>
    <row r="127" ht="14.25" customHeight="1">
      <c r="A127" s="22" t="s">
        <v>16</v>
      </c>
      <c r="B127" s="23" t="s">
        <v>23</v>
      </c>
      <c r="C127" s="24">
        <v>30000.0</v>
      </c>
      <c r="D127" s="23">
        <v>0.02</v>
      </c>
      <c r="E127" s="67">
        <v>0.0</v>
      </c>
      <c r="F127" s="34">
        <f t="shared" si="21"/>
        <v>600</v>
      </c>
      <c r="G127" s="74"/>
      <c r="H127" s="93"/>
      <c r="I127" s="52"/>
      <c r="J127" s="38"/>
    </row>
    <row r="128" ht="14.25" customHeight="1">
      <c r="A128" s="22" t="s">
        <v>306</v>
      </c>
      <c r="B128" s="23" t="s">
        <v>86</v>
      </c>
      <c r="C128" s="24">
        <v>9000.0</v>
      </c>
      <c r="D128" s="23">
        <v>0.05</v>
      </c>
      <c r="E128" s="67">
        <v>0.0</v>
      </c>
      <c r="F128" s="34">
        <f t="shared" si="21"/>
        <v>450</v>
      </c>
      <c r="G128" s="74"/>
      <c r="H128" s="93"/>
      <c r="I128" s="52"/>
      <c r="J128" s="38"/>
    </row>
    <row r="129" ht="14.25" customHeight="1">
      <c r="A129" s="22" t="s">
        <v>57</v>
      </c>
      <c r="B129" s="23" t="s">
        <v>23</v>
      </c>
      <c r="C129" s="24">
        <v>185000.0</v>
      </c>
      <c r="D129" s="23">
        <v>0.05</v>
      </c>
      <c r="E129" s="67">
        <v>0.0</v>
      </c>
      <c r="F129" s="34">
        <f t="shared" si="21"/>
        <v>9250</v>
      </c>
      <c r="G129" s="74"/>
      <c r="H129" s="93"/>
      <c r="I129" s="52"/>
      <c r="J129" s="38"/>
    </row>
    <row r="130" ht="14.25" customHeight="1">
      <c r="A130" s="39" t="s">
        <v>39</v>
      </c>
      <c r="B130" s="40"/>
      <c r="C130" s="42">
        <v>6000.0</v>
      </c>
      <c r="D130" s="40">
        <v>1.0</v>
      </c>
      <c r="E130" s="67">
        <v>0.0</v>
      </c>
      <c r="F130" s="34">
        <f t="shared" si="21"/>
        <v>6000</v>
      </c>
      <c r="G130" s="74"/>
      <c r="H130" s="93"/>
      <c r="I130" s="52"/>
      <c r="J130" s="38"/>
    </row>
    <row r="131" ht="14.25" customHeight="1">
      <c r="A131" s="43" t="s">
        <v>51</v>
      </c>
      <c r="B131" s="44"/>
      <c r="C131" s="46"/>
      <c r="D131" s="44"/>
      <c r="E131" s="44"/>
      <c r="F131" s="48">
        <f>SUM(F126:F130)</f>
        <v>28300</v>
      </c>
      <c r="G131" s="79"/>
      <c r="H131" s="98">
        <v>95000.0</v>
      </c>
      <c r="I131" s="110">
        <f>F131/H131</f>
        <v>0.2978947368</v>
      </c>
      <c r="J131" s="54"/>
    </row>
    <row r="132" ht="14.25" customHeight="1">
      <c r="A132" s="57" t="s">
        <v>307</v>
      </c>
      <c r="B132" s="3"/>
      <c r="C132" s="3"/>
      <c r="D132" s="3"/>
      <c r="E132" s="3"/>
      <c r="F132" s="3"/>
      <c r="G132" s="58"/>
      <c r="H132" s="59"/>
      <c r="I132" s="61"/>
      <c r="J132" s="63"/>
    </row>
    <row r="133" ht="14.25" customHeight="1">
      <c r="A133" s="65" t="s">
        <v>304</v>
      </c>
      <c r="B133" s="23" t="s">
        <v>8</v>
      </c>
      <c r="C133" s="24">
        <v>120000.0</v>
      </c>
      <c r="D133" s="25">
        <v>0.025</v>
      </c>
      <c r="E133" s="67">
        <v>0.0</v>
      </c>
      <c r="F133" s="34">
        <f t="shared" ref="F133:F138" si="22">C133*D133+C133*D133*E133</f>
        <v>3000</v>
      </c>
      <c r="G133" s="68"/>
      <c r="H133" s="70"/>
      <c r="I133" s="52"/>
      <c r="J133" s="38"/>
    </row>
    <row r="134" ht="14.25" customHeight="1">
      <c r="A134" s="65" t="s">
        <v>78</v>
      </c>
      <c r="B134" s="23" t="s">
        <v>23</v>
      </c>
      <c r="C134" s="24">
        <v>15000.0</v>
      </c>
      <c r="D134" s="25">
        <v>0.05</v>
      </c>
      <c r="E134" s="67">
        <v>0.0</v>
      </c>
      <c r="F134" s="34">
        <f t="shared" si="22"/>
        <v>750</v>
      </c>
      <c r="G134" s="74"/>
      <c r="H134" s="70"/>
      <c r="I134" s="52"/>
      <c r="J134" s="38"/>
    </row>
    <row r="135" ht="14.25" customHeight="1">
      <c r="A135" s="65" t="s">
        <v>80</v>
      </c>
      <c r="B135" s="23" t="s">
        <v>23</v>
      </c>
      <c r="C135" s="24">
        <v>27000.0</v>
      </c>
      <c r="D135" s="25">
        <v>0.05</v>
      </c>
      <c r="E135" s="67">
        <v>0.0</v>
      </c>
      <c r="F135" s="34">
        <f t="shared" si="22"/>
        <v>1350</v>
      </c>
      <c r="G135" s="74"/>
      <c r="H135" s="70"/>
      <c r="I135" s="52"/>
      <c r="J135" s="38"/>
    </row>
    <row r="136" ht="14.25" customHeight="1">
      <c r="A136" s="65" t="s">
        <v>310</v>
      </c>
      <c r="B136" s="23" t="s">
        <v>8</v>
      </c>
      <c r="C136" s="24">
        <v>185000.0</v>
      </c>
      <c r="D136" s="25">
        <v>0.05</v>
      </c>
      <c r="E136" s="67">
        <v>0.0</v>
      </c>
      <c r="F136" s="34">
        <f t="shared" si="22"/>
        <v>9250</v>
      </c>
      <c r="G136" s="74"/>
      <c r="H136" s="70"/>
      <c r="I136" s="52"/>
      <c r="J136" s="38"/>
    </row>
    <row r="137" ht="14.25" customHeight="1">
      <c r="A137" s="65" t="s">
        <v>85</v>
      </c>
      <c r="B137" s="23" t="s">
        <v>86</v>
      </c>
      <c r="C137" s="24">
        <v>6000.0</v>
      </c>
      <c r="D137" s="25">
        <v>0.05</v>
      </c>
      <c r="E137" s="67">
        <v>0.0</v>
      </c>
      <c r="F137" s="34">
        <f t="shared" si="22"/>
        <v>300</v>
      </c>
      <c r="G137" s="74"/>
      <c r="H137" s="70"/>
      <c r="I137" s="52"/>
      <c r="J137" s="38"/>
    </row>
    <row r="138" ht="14.25" customHeight="1">
      <c r="A138" s="39" t="s">
        <v>39</v>
      </c>
      <c r="B138" s="40"/>
      <c r="C138" s="42">
        <v>6000.0</v>
      </c>
      <c r="D138" s="40">
        <v>1.0</v>
      </c>
      <c r="E138" s="67">
        <v>0.0</v>
      </c>
      <c r="F138" s="34">
        <f t="shared" si="22"/>
        <v>6000</v>
      </c>
      <c r="G138" s="74"/>
      <c r="H138" s="70"/>
      <c r="I138" s="52"/>
      <c r="J138" s="38"/>
    </row>
    <row r="139" ht="14.25" customHeight="1">
      <c r="A139" s="43" t="s">
        <v>51</v>
      </c>
      <c r="B139" s="44"/>
      <c r="C139" s="46"/>
      <c r="D139" s="44"/>
      <c r="E139" s="44"/>
      <c r="F139" s="48">
        <f>SUM(F134:F138)</f>
        <v>17650</v>
      </c>
      <c r="G139" s="79"/>
      <c r="H139" s="81">
        <v>95000.0</v>
      </c>
      <c r="I139" s="52">
        <f>F139/H139</f>
        <v>0.1857894737</v>
      </c>
      <c r="J139" s="54"/>
    </row>
    <row r="140" ht="14.25" customHeight="1">
      <c r="A140" s="57" t="s">
        <v>213</v>
      </c>
      <c r="B140" s="3"/>
      <c r="C140" s="3"/>
      <c r="D140" s="3"/>
      <c r="E140" s="3"/>
      <c r="F140" s="3"/>
      <c r="G140" s="58"/>
      <c r="H140" s="86"/>
      <c r="I140" s="166"/>
      <c r="J140" s="63"/>
    </row>
    <row r="141" ht="14.25" customHeight="1">
      <c r="A141" s="39" t="s">
        <v>314</v>
      </c>
      <c r="B141" s="40" t="s">
        <v>8</v>
      </c>
      <c r="C141" s="42">
        <v>260000.0</v>
      </c>
      <c r="D141" s="40">
        <v>0.2</v>
      </c>
      <c r="E141" s="167">
        <v>0.0</v>
      </c>
      <c r="F141" s="143">
        <f t="shared" ref="F141:F142" si="23">C141*D141+C141*D141*E141</f>
        <v>52000</v>
      </c>
      <c r="G141" s="74"/>
      <c r="H141" s="93"/>
      <c r="I141" s="168"/>
      <c r="J141" s="38"/>
    </row>
    <row r="142" ht="14.25" customHeight="1">
      <c r="A142" s="39" t="s">
        <v>315</v>
      </c>
      <c r="B142" s="139"/>
      <c r="C142" s="141">
        <v>6500.0</v>
      </c>
      <c r="D142" s="139">
        <v>1.0</v>
      </c>
      <c r="E142" s="142">
        <v>0.0</v>
      </c>
      <c r="F142" s="143">
        <f t="shared" si="23"/>
        <v>6500</v>
      </c>
      <c r="G142" s="74"/>
      <c r="H142" s="93"/>
      <c r="I142" s="168"/>
      <c r="J142" s="38"/>
    </row>
    <row r="143" ht="14.25" customHeight="1">
      <c r="A143" s="43" t="s">
        <v>51</v>
      </c>
      <c r="B143" s="169"/>
      <c r="C143" s="170"/>
      <c r="D143" s="169"/>
      <c r="E143" s="169"/>
      <c r="F143" s="170">
        <f>SUM(F141:F142)</f>
        <v>58500</v>
      </c>
      <c r="G143" s="79"/>
      <c r="H143" s="98">
        <v>135000.0</v>
      </c>
      <c r="I143" s="99">
        <f>F143/H143</f>
        <v>0.4333333333</v>
      </c>
      <c r="J143" s="54"/>
    </row>
    <row r="144" ht="14.25" customHeight="1">
      <c r="A144" s="57" t="s">
        <v>316</v>
      </c>
      <c r="B144" s="3"/>
      <c r="C144" s="3"/>
      <c r="D144" s="3"/>
      <c r="E144" s="3"/>
      <c r="F144" s="3"/>
      <c r="G144" s="58"/>
      <c r="H144" s="86"/>
      <c r="I144" s="166"/>
      <c r="J144" s="63"/>
    </row>
    <row r="145" ht="14.25" customHeight="1">
      <c r="A145" s="39" t="s">
        <v>48</v>
      </c>
      <c r="B145" s="40" t="s">
        <v>8</v>
      </c>
      <c r="C145" s="42">
        <v>115000.0</v>
      </c>
      <c r="D145" s="40">
        <v>0.7</v>
      </c>
      <c r="E145" s="167">
        <v>0.0</v>
      </c>
      <c r="F145" s="143">
        <f t="shared" ref="F145:F146" si="24">C145*D145+C145*D145*E145</f>
        <v>80500</v>
      </c>
      <c r="G145" s="74"/>
      <c r="H145" s="93"/>
      <c r="I145" s="168"/>
      <c r="J145" s="38"/>
    </row>
    <row r="146" ht="14.25" customHeight="1">
      <c r="A146" s="39" t="s">
        <v>315</v>
      </c>
      <c r="B146" s="139"/>
      <c r="C146" s="141">
        <v>8000.0</v>
      </c>
      <c r="D146" s="139">
        <v>1.0</v>
      </c>
      <c r="E146" s="142">
        <v>0.0</v>
      </c>
      <c r="F146" s="143">
        <f t="shared" si="24"/>
        <v>8000</v>
      </c>
      <c r="G146" s="74"/>
      <c r="H146" s="93"/>
      <c r="I146" s="168"/>
      <c r="J146" s="38"/>
    </row>
    <row r="147" ht="14.25" customHeight="1">
      <c r="A147" s="43" t="s">
        <v>51</v>
      </c>
      <c r="B147" s="169"/>
      <c r="C147" s="170"/>
      <c r="D147" s="169"/>
      <c r="E147" s="169"/>
      <c r="F147" s="170">
        <f>SUM(F145:F146)</f>
        <v>88500</v>
      </c>
      <c r="G147" s="79"/>
      <c r="H147" s="98">
        <v>275000.0</v>
      </c>
      <c r="I147" s="99">
        <f>F147/H147</f>
        <v>0.3218181818</v>
      </c>
      <c r="J147" s="54"/>
    </row>
    <row r="148" ht="14.25" customHeight="1">
      <c r="A148" s="57" t="s">
        <v>218</v>
      </c>
      <c r="B148" s="3"/>
      <c r="C148" s="3"/>
      <c r="D148" s="3"/>
      <c r="E148" s="3"/>
      <c r="F148" s="3"/>
      <c r="G148" s="58"/>
      <c r="H148" s="59"/>
      <c r="I148" s="63"/>
      <c r="J148" s="63"/>
    </row>
    <row r="149" ht="14.25" customHeight="1">
      <c r="A149" s="22" t="s">
        <v>229</v>
      </c>
      <c r="B149" s="23" t="s">
        <v>23</v>
      </c>
      <c r="C149" s="24">
        <v>230000.0</v>
      </c>
      <c r="D149" s="25">
        <v>0.2</v>
      </c>
      <c r="E149" s="67">
        <v>0.0</v>
      </c>
      <c r="F149" s="34">
        <f t="shared" ref="F149:F150" si="25">C149*D149+C149*D149*E149</f>
        <v>46000</v>
      </c>
      <c r="G149" s="74"/>
      <c r="H149" s="70"/>
      <c r="I149" s="38"/>
      <c r="J149" s="38"/>
    </row>
    <row r="150" ht="14.25" customHeight="1">
      <c r="A150" s="39" t="s">
        <v>39</v>
      </c>
      <c r="B150" s="40"/>
      <c r="C150" s="42">
        <v>8000.0</v>
      </c>
      <c r="D150" s="40">
        <v>1.0</v>
      </c>
      <c r="E150" s="67">
        <v>0.0</v>
      </c>
      <c r="F150" s="34">
        <f t="shared" si="25"/>
        <v>8000</v>
      </c>
      <c r="G150" s="74"/>
      <c r="H150" s="70"/>
      <c r="I150" s="38"/>
      <c r="J150" s="38"/>
    </row>
    <row r="151" ht="14.25" customHeight="1">
      <c r="A151" s="43" t="s">
        <v>51</v>
      </c>
      <c r="B151" s="44"/>
      <c r="C151" s="46"/>
      <c r="D151" s="44"/>
      <c r="E151" s="44"/>
      <c r="F151" s="48">
        <f>SUM(F149:F150)</f>
        <v>54000</v>
      </c>
      <c r="G151" s="79"/>
      <c r="H151" s="81">
        <v>185000.0</v>
      </c>
      <c r="I151" s="110">
        <f>F151/H151</f>
        <v>0.2918918919</v>
      </c>
      <c r="J151" s="54"/>
    </row>
    <row r="152" ht="14.25" customHeight="1">
      <c r="A152" s="57" t="s">
        <v>322</v>
      </c>
      <c r="B152" s="3"/>
      <c r="C152" s="3"/>
      <c r="D152" s="3"/>
      <c r="E152" s="3"/>
      <c r="F152" s="3"/>
      <c r="G152" s="58"/>
      <c r="H152" s="59"/>
      <c r="I152" s="63"/>
      <c r="J152" s="38"/>
    </row>
    <row r="153" ht="14.25" customHeight="1">
      <c r="A153" s="91" t="s">
        <v>323</v>
      </c>
      <c r="B153" s="92" t="s">
        <v>23</v>
      </c>
      <c r="C153" s="24">
        <v>275000.0</v>
      </c>
      <c r="D153" s="92">
        <v>0.15</v>
      </c>
      <c r="E153" s="67">
        <v>0.0</v>
      </c>
      <c r="F153" s="171">
        <f t="shared" ref="F153:F155" si="26">C153*D153+C153*D153*E153</f>
        <v>41250</v>
      </c>
      <c r="G153" s="74"/>
      <c r="H153" s="70"/>
      <c r="I153" s="38"/>
      <c r="J153" s="38"/>
    </row>
    <row r="154" ht="14.25" customHeight="1">
      <c r="A154" s="91" t="s">
        <v>29</v>
      </c>
      <c r="B154" s="92" t="s">
        <v>8</v>
      </c>
      <c r="C154" s="24">
        <v>35000.0</v>
      </c>
      <c r="D154" s="92">
        <v>0.3</v>
      </c>
      <c r="E154" s="67">
        <v>0.0</v>
      </c>
      <c r="F154" s="171">
        <f t="shared" si="26"/>
        <v>10500</v>
      </c>
      <c r="G154" s="74"/>
      <c r="H154" s="70"/>
      <c r="I154" s="38"/>
      <c r="J154" s="38"/>
    </row>
    <row r="155" ht="14.25" customHeight="1">
      <c r="A155" s="39" t="s">
        <v>39</v>
      </c>
      <c r="B155" s="40"/>
      <c r="C155" s="42">
        <v>8000.0</v>
      </c>
      <c r="D155" s="40">
        <v>1.0</v>
      </c>
      <c r="E155" s="67">
        <v>0.0</v>
      </c>
      <c r="F155" s="171">
        <f t="shared" si="26"/>
        <v>8000</v>
      </c>
      <c r="G155" s="74"/>
      <c r="H155" s="70"/>
      <c r="I155" s="38"/>
      <c r="J155" s="38"/>
    </row>
    <row r="156" ht="14.25" customHeight="1">
      <c r="A156" s="43" t="s">
        <v>51</v>
      </c>
      <c r="B156" s="172"/>
      <c r="C156" s="173"/>
      <c r="D156" s="172"/>
      <c r="E156" s="172"/>
      <c r="F156" s="170">
        <f>SUM(F153:F155)</f>
        <v>59750</v>
      </c>
      <c r="G156" s="79"/>
      <c r="H156" s="81">
        <v>165000.0</v>
      </c>
      <c r="I156" s="110">
        <f>F156/H156</f>
        <v>0.3621212121</v>
      </c>
      <c r="J156" s="54"/>
    </row>
    <row r="157" ht="14.25" customHeight="1">
      <c r="A157" s="57" t="s">
        <v>32</v>
      </c>
      <c r="B157" s="3"/>
      <c r="C157" s="3"/>
      <c r="D157" s="3"/>
      <c r="E157" s="3"/>
      <c r="F157" s="3"/>
      <c r="G157" s="58"/>
      <c r="H157" s="86"/>
      <c r="I157" s="168"/>
      <c r="J157" s="63"/>
    </row>
    <row r="158" ht="14.25" customHeight="1">
      <c r="A158" s="22" t="s">
        <v>36</v>
      </c>
      <c r="B158" s="23" t="s">
        <v>23</v>
      </c>
      <c r="C158" s="24">
        <v>78000.0</v>
      </c>
      <c r="D158" s="25">
        <v>0.04</v>
      </c>
      <c r="E158" s="40">
        <v>0.0</v>
      </c>
      <c r="F158" s="34">
        <f t="shared" ref="F158:F163" si="27">C158*D158+C158*D158*E158</f>
        <v>3120</v>
      </c>
      <c r="G158" s="74"/>
      <c r="H158" s="93"/>
      <c r="I158" s="168"/>
      <c r="J158" s="38"/>
    </row>
    <row r="159" ht="14.25" customHeight="1">
      <c r="A159" s="22" t="s">
        <v>43</v>
      </c>
      <c r="B159" s="23" t="s">
        <v>23</v>
      </c>
      <c r="C159" s="24">
        <v>18000.0</v>
      </c>
      <c r="D159" s="25">
        <v>0.05</v>
      </c>
      <c r="E159" s="40">
        <v>0.0</v>
      </c>
      <c r="F159" s="34">
        <f t="shared" si="27"/>
        <v>900</v>
      </c>
      <c r="G159" s="74"/>
      <c r="H159" s="93"/>
      <c r="I159" s="168"/>
      <c r="J159" s="38"/>
    </row>
    <row r="160" ht="14.25" customHeight="1">
      <c r="A160" s="22" t="s">
        <v>48</v>
      </c>
      <c r="B160" s="23" t="s">
        <v>23</v>
      </c>
      <c r="C160" s="24">
        <v>115000.0</v>
      </c>
      <c r="D160" s="25">
        <v>0.2</v>
      </c>
      <c r="E160" s="40">
        <v>0.0</v>
      </c>
      <c r="F160" s="34">
        <f t="shared" si="27"/>
        <v>23000</v>
      </c>
      <c r="G160" s="74"/>
      <c r="H160" s="93"/>
      <c r="I160" s="168"/>
      <c r="J160" s="38"/>
    </row>
    <row r="161" ht="14.25" customHeight="1">
      <c r="A161" s="22" t="s">
        <v>55</v>
      </c>
      <c r="B161" s="23" t="s">
        <v>23</v>
      </c>
      <c r="C161" s="24">
        <v>15000.0</v>
      </c>
      <c r="D161" s="25">
        <v>0.1</v>
      </c>
      <c r="E161" s="40">
        <v>0.0</v>
      </c>
      <c r="F161" s="34">
        <f t="shared" si="27"/>
        <v>1500</v>
      </c>
      <c r="G161" s="74"/>
      <c r="H161" s="93"/>
      <c r="I161" s="168"/>
      <c r="J161" s="38"/>
    </row>
    <row r="162" ht="14.25" customHeight="1">
      <c r="A162" s="22" t="s">
        <v>29</v>
      </c>
      <c r="B162" s="23" t="s">
        <v>23</v>
      </c>
      <c r="C162" s="42">
        <v>35000.0</v>
      </c>
      <c r="D162" s="25">
        <v>0.2</v>
      </c>
      <c r="E162" s="40">
        <v>0.0</v>
      </c>
      <c r="F162" s="34">
        <f t="shared" si="27"/>
        <v>7000</v>
      </c>
      <c r="G162" s="74"/>
      <c r="H162" s="93"/>
      <c r="I162" s="168"/>
      <c r="J162" s="38"/>
    </row>
    <row r="163" ht="14.25" customHeight="1">
      <c r="A163" s="39" t="s">
        <v>39</v>
      </c>
      <c r="B163" s="40"/>
      <c r="C163" s="42">
        <v>8000.0</v>
      </c>
      <c r="D163" s="40">
        <v>1.0</v>
      </c>
      <c r="E163" s="40">
        <v>0.0</v>
      </c>
      <c r="F163" s="34">
        <f t="shared" si="27"/>
        <v>8000</v>
      </c>
      <c r="G163" s="74"/>
      <c r="H163" s="93"/>
      <c r="I163" s="168"/>
      <c r="J163" s="38"/>
    </row>
    <row r="164" ht="14.25" customHeight="1">
      <c r="A164" s="43" t="s">
        <v>51</v>
      </c>
      <c r="B164" s="44"/>
      <c r="C164" s="46"/>
      <c r="D164" s="44"/>
      <c r="E164" s="44"/>
      <c r="F164" s="48">
        <f>SUM(F158:F163)</f>
        <v>43520</v>
      </c>
      <c r="G164" s="79"/>
      <c r="H164" s="98">
        <v>165000.0</v>
      </c>
      <c r="I164" s="94">
        <f>F164/H164</f>
        <v>0.2637575758</v>
      </c>
      <c r="J164" s="54"/>
    </row>
    <row r="165" ht="14.25" customHeight="1">
      <c r="A165" s="57" t="s">
        <v>193</v>
      </c>
      <c r="B165" s="3"/>
      <c r="C165" s="3"/>
      <c r="D165" s="3"/>
      <c r="E165" s="3"/>
      <c r="F165" s="3"/>
      <c r="G165" s="58"/>
      <c r="H165" s="59"/>
      <c r="I165" s="61"/>
      <c r="J165" s="63"/>
    </row>
    <row r="166" ht="14.25" customHeight="1">
      <c r="A166" s="22" t="s">
        <v>67</v>
      </c>
      <c r="B166" s="23" t="s">
        <v>23</v>
      </c>
      <c r="C166" s="24">
        <v>18000.0</v>
      </c>
      <c r="D166" s="25">
        <v>0.05</v>
      </c>
      <c r="E166" s="67">
        <v>0.0</v>
      </c>
      <c r="F166" s="34">
        <f t="shared" ref="F166:F170" si="28">C166*D166+C166*D166*E166</f>
        <v>900</v>
      </c>
      <c r="G166" s="74"/>
      <c r="H166" s="70"/>
      <c r="I166" s="52"/>
      <c r="J166" s="38"/>
    </row>
    <row r="167" ht="14.25" customHeight="1">
      <c r="A167" s="22" t="s">
        <v>200</v>
      </c>
      <c r="B167" s="23" t="s">
        <v>23</v>
      </c>
      <c r="C167" s="24">
        <v>100000.0</v>
      </c>
      <c r="D167" s="25">
        <v>0.1</v>
      </c>
      <c r="E167" s="67">
        <v>0.0</v>
      </c>
      <c r="F167" s="34">
        <f t="shared" si="28"/>
        <v>10000</v>
      </c>
      <c r="G167" s="74"/>
      <c r="H167" s="70"/>
      <c r="I167" s="52"/>
      <c r="J167" s="38"/>
    </row>
    <row r="168" ht="14.25" customHeight="1">
      <c r="A168" s="22" t="s">
        <v>155</v>
      </c>
      <c r="B168" s="23" t="s">
        <v>156</v>
      </c>
      <c r="C168" s="24">
        <v>5000.0</v>
      </c>
      <c r="D168" s="25">
        <v>1.0</v>
      </c>
      <c r="E168" s="67">
        <v>0.0</v>
      </c>
      <c r="F168" s="34">
        <f t="shared" si="28"/>
        <v>5000</v>
      </c>
      <c r="G168" s="74"/>
      <c r="H168" s="70"/>
      <c r="I168" s="52"/>
      <c r="J168" s="38"/>
    </row>
    <row r="169" ht="14.25" customHeight="1">
      <c r="A169" s="22" t="s">
        <v>138</v>
      </c>
      <c r="B169" s="23" t="s">
        <v>23</v>
      </c>
      <c r="C169" s="42">
        <v>12000.0</v>
      </c>
      <c r="D169" s="25">
        <v>0.2</v>
      </c>
      <c r="E169" s="67">
        <v>0.0</v>
      </c>
      <c r="F169" s="34">
        <f t="shared" si="28"/>
        <v>2400</v>
      </c>
      <c r="G169" s="74"/>
      <c r="H169" s="70"/>
      <c r="I169" s="52"/>
      <c r="J169" s="38"/>
    </row>
    <row r="170" ht="14.25" customHeight="1">
      <c r="A170" s="39" t="s">
        <v>39</v>
      </c>
      <c r="B170" s="40"/>
      <c r="C170" s="42">
        <v>8000.0</v>
      </c>
      <c r="D170" s="40">
        <v>1.0</v>
      </c>
      <c r="E170" s="67">
        <v>0.0</v>
      </c>
      <c r="F170" s="34">
        <f t="shared" si="28"/>
        <v>8000</v>
      </c>
      <c r="G170" s="74"/>
      <c r="H170" s="70"/>
      <c r="I170" s="52"/>
      <c r="J170" s="38"/>
    </row>
    <row r="171" ht="14.25" customHeight="1">
      <c r="A171" s="43" t="s">
        <v>51</v>
      </c>
      <c r="B171" s="44"/>
      <c r="C171" s="46"/>
      <c r="D171" s="44"/>
      <c r="E171" s="44"/>
      <c r="F171" s="48">
        <f>SUM(F166:F170)</f>
        <v>26300</v>
      </c>
      <c r="G171" s="79"/>
      <c r="H171" s="81">
        <v>95000.0</v>
      </c>
      <c r="I171" s="110">
        <f>F171/H171</f>
        <v>0.2768421053</v>
      </c>
      <c r="J171" s="54"/>
    </row>
    <row r="172" ht="14.25" customHeight="1">
      <c r="A172" s="57" t="s">
        <v>194</v>
      </c>
      <c r="B172" s="3"/>
      <c r="C172" s="3"/>
      <c r="D172" s="3"/>
      <c r="E172" s="3"/>
      <c r="F172" s="3"/>
      <c r="G172" s="58"/>
      <c r="H172" s="59"/>
      <c r="I172" s="63"/>
      <c r="J172" s="38"/>
    </row>
    <row r="173" ht="14.25" customHeight="1">
      <c r="A173" s="91" t="s">
        <v>195</v>
      </c>
      <c r="B173" s="92" t="s">
        <v>23</v>
      </c>
      <c r="C173" s="24">
        <v>150000.0</v>
      </c>
      <c r="D173" s="92">
        <v>0.15</v>
      </c>
      <c r="E173" s="67">
        <v>0.0</v>
      </c>
      <c r="F173" s="171">
        <f t="shared" ref="F173:F175" si="29">C173*D173+C173*D173*E173</f>
        <v>22500</v>
      </c>
      <c r="G173" s="74"/>
      <c r="H173" s="70"/>
      <c r="I173" s="38"/>
      <c r="J173" s="38"/>
    </row>
    <row r="174" ht="14.25" customHeight="1">
      <c r="A174" s="91" t="s">
        <v>199</v>
      </c>
      <c r="B174" s="92" t="s">
        <v>336</v>
      </c>
      <c r="C174" s="24">
        <v>7000.0</v>
      </c>
      <c r="D174" s="92">
        <v>1.0</v>
      </c>
      <c r="E174" s="67">
        <v>0.0</v>
      </c>
      <c r="F174" s="171">
        <f t="shared" si="29"/>
        <v>7000</v>
      </c>
      <c r="G174" s="74"/>
      <c r="H174" s="70"/>
      <c r="I174" s="38"/>
      <c r="J174" s="38"/>
    </row>
    <row r="175" ht="14.25" customHeight="1">
      <c r="A175" s="39" t="s">
        <v>39</v>
      </c>
      <c r="B175" s="40"/>
      <c r="C175" s="42">
        <v>8000.0</v>
      </c>
      <c r="D175" s="40">
        <v>1.0</v>
      </c>
      <c r="E175" s="67">
        <v>0.0</v>
      </c>
      <c r="F175" s="171">
        <f t="shared" si="29"/>
        <v>8000</v>
      </c>
      <c r="G175" s="74"/>
      <c r="H175" s="70"/>
      <c r="I175" s="38"/>
      <c r="J175" s="38"/>
    </row>
    <row r="176" ht="14.25" customHeight="1">
      <c r="A176" s="43" t="s">
        <v>51</v>
      </c>
      <c r="B176" s="172"/>
      <c r="C176" s="173"/>
      <c r="D176" s="172"/>
      <c r="E176" s="172"/>
      <c r="F176" s="170">
        <f>SUM(F173:F175)</f>
        <v>37500</v>
      </c>
      <c r="G176" s="79"/>
      <c r="H176" s="81">
        <v>165000.0</v>
      </c>
      <c r="I176" s="110">
        <f>F176/H176</f>
        <v>0.2272727273</v>
      </c>
      <c r="J176" s="54"/>
    </row>
    <row r="177" ht="14.25" customHeight="1">
      <c r="A177" s="57" t="s">
        <v>339</v>
      </c>
      <c r="B177" s="3"/>
      <c r="C177" s="3"/>
      <c r="D177" s="3"/>
      <c r="E177" s="3"/>
      <c r="F177" s="3"/>
      <c r="G177" s="58"/>
      <c r="H177" s="59"/>
      <c r="I177" s="63"/>
      <c r="J177" s="38"/>
    </row>
    <row r="178" ht="14.25" customHeight="1">
      <c r="A178" s="91" t="s">
        <v>340</v>
      </c>
      <c r="B178" s="92" t="s">
        <v>23</v>
      </c>
      <c r="C178" s="24">
        <v>40000.0</v>
      </c>
      <c r="D178" s="92">
        <v>0.5</v>
      </c>
      <c r="E178" s="67">
        <v>0.0</v>
      </c>
      <c r="F178" s="171">
        <f t="shared" ref="F178:F181" si="30">C178*D178+C178*D178*E178</f>
        <v>20000</v>
      </c>
      <c r="G178" s="74"/>
      <c r="H178" s="70"/>
      <c r="I178" s="38"/>
      <c r="J178" s="38"/>
    </row>
    <row r="179" ht="14.25" customHeight="1">
      <c r="A179" s="91" t="s">
        <v>46</v>
      </c>
      <c r="B179" s="92" t="s">
        <v>8</v>
      </c>
      <c r="C179" s="24">
        <v>120000.0</v>
      </c>
      <c r="D179" s="92">
        <v>0.1</v>
      </c>
      <c r="E179" s="67">
        <v>0.0</v>
      </c>
      <c r="F179" s="171">
        <f t="shared" si="30"/>
        <v>12000</v>
      </c>
      <c r="G179" s="74"/>
      <c r="H179" s="70"/>
      <c r="I179" s="38"/>
      <c r="J179" s="38"/>
    </row>
    <row r="180" ht="14.25" customHeight="1">
      <c r="A180" s="91" t="s">
        <v>310</v>
      </c>
      <c r="B180" s="92" t="s">
        <v>8</v>
      </c>
      <c r="C180" s="24">
        <v>185000.0</v>
      </c>
      <c r="D180" s="92">
        <v>0.1</v>
      </c>
      <c r="E180" s="67">
        <v>0.0</v>
      </c>
      <c r="F180" s="171">
        <f t="shared" si="30"/>
        <v>18500</v>
      </c>
      <c r="G180" s="74"/>
      <c r="H180" s="70"/>
      <c r="I180" s="38"/>
      <c r="J180" s="38"/>
    </row>
    <row r="181" ht="14.25" customHeight="1">
      <c r="A181" s="39" t="s">
        <v>39</v>
      </c>
      <c r="B181" s="40"/>
      <c r="C181" s="42">
        <v>8000.0</v>
      </c>
      <c r="D181" s="40">
        <v>1.0</v>
      </c>
      <c r="E181" s="67">
        <v>0.0</v>
      </c>
      <c r="F181" s="171">
        <f t="shared" si="30"/>
        <v>8000</v>
      </c>
      <c r="G181" s="74"/>
      <c r="H181" s="70"/>
      <c r="I181" s="38"/>
      <c r="J181" s="38"/>
    </row>
    <row r="182" ht="14.25" customHeight="1">
      <c r="A182" s="43" t="s">
        <v>51</v>
      </c>
      <c r="B182" s="172"/>
      <c r="C182" s="173"/>
      <c r="D182" s="172"/>
      <c r="E182" s="172"/>
      <c r="F182" s="170">
        <f>SUM(F178:F181)</f>
        <v>58500</v>
      </c>
      <c r="G182" s="79"/>
      <c r="H182" s="81">
        <v>165000.0</v>
      </c>
      <c r="I182" s="110">
        <f>F182/H182</f>
        <v>0.3545454545</v>
      </c>
      <c r="J182" s="54"/>
    </row>
    <row r="183" ht="14.25" customHeight="1">
      <c r="A183" s="13" t="s">
        <v>346</v>
      </c>
      <c r="B183" s="3"/>
      <c r="C183" s="3"/>
      <c r="D183" s="3"/>
      <c r="E183" s="3"/>
      <c r="F183" s="3"/>
      <c r="G183" s="3"/>
      <c r="H183" s="3"/>
      <c r="I183" s="3"/>
      <c r="J183" s="14"/>
    </row>
    <row r="184" ht="14.25" customHeight="1">
      <c r="A184" s="57" t="s">
        <v>267</v>
      </c>
      <c r="B184" s="3"/>
      <c r="C184" s="3"/>
      <c r="D184" s="3"/>
      <c r="E184" s="3"/>
      <c r="F184" s="3"/>
      <c r="G184" s="58"/>
      <c r="H184" s="59"/>
      <c r="I184" s="63"/>
      <c r="J184" s="63"/>
    </row>
    <row r="185" ht="14.25" customHeight="1">
      <c r="A185" s="22" t="s">
        <v>271</v>
      </c>
      <c r="B185" s="23" t="s">
        <v>23</v>
      </c>
      <c r="C185" s="24">
        <v>25000.0</v>
      </c>
      <c r="D185" s="25">
        <v>0.2</v>
      </c>
      <c r="E185" s="67">
        <v>0.0</v>
      </c>
      <c r="F185" s="34">
        <f t="shared" ref="F185:F187" si="31">C185*D185+C185*D185*E185</f>
        <v>5000</v>
      </c>
      <c r="G185" s="74"/>
      <c r="H185" s="70"/>
      <c r="I185" s="38"/>
      <c r="J185" s="38"/>
    </row>
    <row r="186" ht="14.25" customHeight="1">
      <c r="A186" s="22" t="s">
        <v>57</v>
      </c>
      <c r="B186" s="23" t="s">
        <v>23</v>
      </c>
      <c r="C186" s="24">
        <v>185000.0</v>
      </c>
      <c r="D186" s="25">
        <v>0.1</v>
      </c>
      <c r="E186" s="67">
        <v>0.0</v>
      </c>
      <c r="F186" s="34">
        <f t="shared" si="31"/>
        <v>18500</v>
      </c>
      <c r="G186" s="74"/>
      <c r="H186" s="70"/>
      <c r="I186" s="38"/>
      <c r="J186" s="38"/>
    </row>
    <row r="187" ht="14.25" customHeight="1">
      <c r="A187" s="39" t="s">
        <v>39</v>
      </c>
      <c r="B187" s="40"/>
      <c r="C187" s="42">
        <v>6500.0</v>
      </c>
      <c r="D187" s="40">
        <v>1.0</v>
      </c>
      <c r="E187" s="67">
        <v>0.0</v>
      </c>
      <c r="F187" s="34">
        <f t="shared" si="31"/>
        <v>6500</v>
      </c>
      <c r="G187" s="74"/>
      <c r="H187" s="70"/>
      <c r="I187" s="38"/>
      <c r="J187" s="38"/>
    </row>
    <row r="188" ht="14.25" customHeight="1">
      <c r="A188" s="43" t="s">
        <v>51</v>
      </c>
      <c r="B188" s="44"/>
      <c r="C188" s="46"/>
      <c r="D188" s="44"/>
      <c r="E188" s="44"/>
      <c r="F188" s="48">
        <f>SUM(F185:F187)</f>
        <v>30000</v>
      </c>
      <c r="G188" s="79"/>
      <c r="H188" s="81">
        <v>115000.0</v>
      </c>
      <c r="I188" s="110">
        <f>F188/H188</f>
        <v>0.2608695652</v>
      </c>
      <c r="J188" s="54"/>
    </row>
    <row r="189" ht="14.25" customHeight="1">
      <c r="A189" s="57" t="s">
        <v>269</v>
      </c>
      <c r="B189" s="3"/>
      <c r="C189" s="3"/>
      <c r="D189" s="3"/>
      <c r="E189" s="3"/>
      <c r="F189" s="3"/>
      <c r="G189" s="58"/>
      <c r="H189" s="59"/>
      <c r="I189" s="63"/>
      <c r="J189" s="63"/>
    </row>
    <row r="190" ht="14.25" customHeight="1">
      <c r="A190" s="22" t="s">
        <v>271</v>
      </c>
      <c r="B190" s="23" t="s">
        <v>23</v>
      </c>
      <c r="C190" s="24">
        <v>25000.0</v>
      </c>
      <c r="D190" s="25">
        <v>0.2</v>
      </c>
      <c r="E190" s="67">
        <v>0.0</v>
      </c>
      <c r="F190" s="34">
        <f t="shared" ref="F190:F192" si="32">C190*D190+C190*D190*E190</f>
        <v>5000</v>
      </c>
      <c r="G190" s="74"/>
      <c r="H190" s="70"/>
      <c r="I190" s="38"/>
      <c r="J190" s="38"/>
    </row>
    <row r="191" ht="14.25" customHeight="1">
      <c r="A191" s="22" t="s">
        <v>272</v>
      </c>
      <c r="B191" s="23" t="s">
        <v>23</v>
      </c>
      <c r="C191" s="24">
        <v>100000.0</v>
      </c>
      <c r="D191" s="25">
        <v>0.2</v>
      </c>
      <c r="E191" s="67">
        <v>0.0</v>
      </c>
      <c r="F191" s="34">
        <f t="shared" si="32"/>
        <v>20000</v>
      </c>
      <c r="G191" s="74"/>
      <c r="H191" s="70"/>
      <c r="I191" s="38"/>
      <c r="J191" s="38"/>
    </row>
    <row r="192" ht="14.25" customHeight="1">
      <c r="A192" s="39" t="s">
        <v>39</v>
      </c>
      <c r="B192" s="40"/>
      <c r="C192" s="42">
        <v>6500.0</v>
      </c>
      <c r="D192" s="40">
        <v>1.0</v>
      </c>
      <c r="E192" s="67">
        <v>0.0</v>
      </c>
      <c r="F192" s="34">
        <f t="shared" si="32"/>
        <v>6500</v>
      </c>
      <c r="G192" s="74"/>
      <c r="H192" s="70"/>
      <c r="I192" s="38"/>
      <c r="J192" s="38"/>
    </row>
    <row r="193" ht="14.25" customHeight="1">
      <c r="A193" s="43" t="s">
        <v>51</v>
      </c>
      <c r="B193" s="44"/>
      <c r="C193" s="46"/>
      <c r="D193" s="44"/>
      <c r="E193" s="44"/>
      <c r="F193" s="48">
        <f>SUM(F190:F192)</f>
        <v>31500</v>
      </c>
      <c r="G193" s="79"/>
      <c r="H193" s="81">
        <v>115000.0</v>
      </c>
      <c r="I193" s="110">
        <f>F193/H193</f>
        <v>0.2739130435</v>
      </c>
      <c r="J193" s="54"/>
    </row>
    <row r="194" ht="14.25" customHeight="1">
      <c r="A194" s="57" t="s">
        <v>354</v>
      </c>
      <c r="B194" s="3"/>
      <c r="C194" s="3"/>
      <c r="D194" s="3"/>
      <c r="E194" s="3"/>
      <c r="F194" s="3"/>
      <c r="G194" s="58"/>
      <c r="H194" s="59"/>
      <c r="I194" s="63"/>
      <c r="J194" s="63"/>
    </row>
    <row r="195" ht="14.25" customHeight="1">
      <c r="A195" s="22" t="s">
        <v>356</v>
      </c>
      <c r="B195" s="23" t="s">
        <v>23</v>
      </c>
      <c r="C195" s="24">
        <v>135000.0</v>
      </c>
      <c r="D195" s="25">
        <v>0.2</v>
      </c>
      <c r="E195" s="67">
        <v>0.0</v>
      </c>
      <c r="F195" s="34">
        <f t="shared" ref="F195:F196" si="33">C195*D195+C195*D195*E195</f>
        <v>27000</v>
      </c>
      <c r="G195" s="74"/>
      <c r="H195" s="70"/>
      <c r="I195" s="38"/>
      <c r="J195" s="38"/>
    </row>
    <row r="196" ht="14.25" customHeight="1">
      <c r="A196" s="39" t="s">
        <v>39</v>
      </c>
      <c r="B196" s="40"/>
      <c r="C196" s="42">
        <v>8000.0</v>
      </c>
      <c r="D196" s="40">
        <v>1.0</v>
      </c>
      <c r="E196" s="67">
        <v>0.0</v>
      </c>
      <c r="F196" s="34">
        <f t="shared" si="33"/>
        <v>8000</v>
      </c>
      <c r="G196" s="74"/>
      <c r="H196" s="70"/>
      <c r="I196" s="38"/>
      <c r="J196" s="38"/>
    </row>
    <row r="197" ht="14.25" customHeight="1">
      <c r="A197" s="43" t="s">
        <v>51</v>
      </c>
      <c r="B197" s="44"/>
      <c r="C197" s="46"/>
      <c r="D197" s="44"/>
      <c r="E197" s="44"/>
      <c r="F197" s="48">
        <f>SUM(F195:F196)</f>
        <v>35000</v>
      </c>
      <c r="G197" s="79"/>
      <c r="H197" s="81">
        <v>155000.0</v>
      </c>
      <c r="I197" s="110">
        <f>F197/H197</f>
        <v>0.2258064516</v>
      </c>
      <c r="J197" s="54"/>
    </row>
    <row r="198" ht="14.25" customHeight="1">
      <c r="A198" s="57" t="s">
        <v>360</v>
      </c>
      <c r="B198" s="3"/>
      <c r="C198" s="3"/>
      <c r="D198" s="3"/>
      <c r="E198" s="3"/>
      <c r="F198" s="3"/>
      <c r="G198" s="58"/>
      <c r="H198" s="59"/>
      <c r="I198" s="63"/>
      <c r="J198" s="63"/>
    </row>
    <row r="199" ht="14.25" customHeight="1">
      <c r="A199" s="22" t="s">
        <v>356</v>
      </c>
      <c r="B199" s="23" t="s">
        <v>23</v>
      </c>
      <c r="C199" s="24">
        <v>135000.0</v>
      </c>
      <c r="D199" s="25">
        <v>0.2</v>
      </c>
      <c r="E199" s="67">
        <v>0.0</v>
      </c>
      <c r="F199" s="34">
        <f t="shared" ref="F199:F201" si="34">C199*D199+C199*D199*E199</f>
        <v>27000</v>
      </c>
      <c r="G199" s="74"/>
      <c r="H199" s="70"/>
      <c r="I199" s="38"/>
      <c r="J199" s="38"/>
    </row>
    <row r="200" ht="14.25" customHeight="1">
      <c r="A200" s="22" t="s">
        <v>361</v>
      </c>
      <c r="B200" s="23" t="s">
        <v>23</v>
      </c>
      <c r="C200" s="24">
        <v>40000.0</v>
      </c>
      <c r="D200" s="25">
        <v>0.5</v>
      </c>
      <c r="E200" s="67">
        <v>0.0</v>
      </c>
      <c r="F200" s="34">
        <f t="shared" si="34"/>
        <v>20000</v>
      </c>
      <c r="G200" s="74"/>
      <c r="H200" s="70"/>
      <c r="I200" s="38"/>
      <c r="J200" s="38"/>
    </row>
    <row r="201" ht="14.25" customHeight="1">
      <c r="A201" s="39" t="s">
        <v>39</v>
      </c>
      <c r="B201" s="40"/>
      <c r="C201" s="42">
        <v>6500.0</v>
      </c>
      <c r="D201" s="40">
        <v>1.0</v>
      </c>
      <c r="E201" s="67">
        <v>0.0</v>
      </c>
      <c r="F201" s="34">
        <f t="shared" si="34"/>
        <v>6500</v>
      </c>
      <c r="G201" s="74"/>
      <c r="H201" s="70"/>
      <c r="I201" s="38"/>
      <c r="J201" s="38"/>
    </row>
    <row r="202" ht="14.25" customHeight="1">
      <c r="A202" s="43" t="s">
        <v>51</v>
      </c>
      <c r="B202" s="44"/>
      <c r="C202" s="46"/>
      <c r="D202" s="44"/>
      <c r="E202" s="44"/>
      <c r="F202" s="48">
        <f>SUM(F199:F201)</f>
        <v>53500</v>
      </c>
      <c r="G202" s="79"/>
      <c r="H202" s="81">
        <v>155000.0</v>
      </c>
      <c r="I202" s="110">
        <f>F202/H202</f>
        <v>0.3451612903</v>
      </c>
      <c r="J202" s="54"/>
    </row>
    <row r="203" ht="14.25" customHeight="1">
      <c r="A203" s="57" t="s">
        <v>362</v>
      </c>
      <c r="B203" s="3"/>
      <c r="C203" s="3"/>
      <c r="D203" s="3"/>
      <c r="E203" s="3"/>
      <c r="F203" s="3"/>
      <c r="G203" s="58"/>
      <c r="H203" s="59"/>
      <c r="I203" s="63"/>
      <c r="J203" s="63"/>
    </row>
    <row r="204" ht="14.25" customHeight="1">
      <c r="A204" s="22" t="s">
        <v>286</v>
      </c>
      <c r="B204" s="23" t="s">
        <v>23</v>
      </c>
      <c r="C204" s="24">
        <v>25000.0</v>
      </c>
      <c r="D204" s="25">
        <v>0.5</v>
      </c>
      <c r="E204" s="67">
        <v>0.0</v>
      </c>
      <c r="F204" s="34">
        <f t="shared" ref="F204:F206" si="35">C204*D204+C204*D204*E204</f>
        <v>12500</v>
      </c>
      <c r="G204" s="74"/>
      <c r="H204" s="70"/>
      <c r="I204" s="38"/>
      <c r="J204" s="38"/>
    </row>
    <row r="205" ht="14.25" customHeight="1">
      <c r="A205" s="22" t="s">
        <v>363</v>
      </c>
      <c r="B205" s="23" t="s">
        <v>23</v>
      </c>
      <c r="C205" s="24">
        <v>125000.0</v>
      </c>
      <c r="D205" s="25">
        <v>0.2</v>
      </c>
      <c r="E205" s="67">
        <v>0.0</v>
      </c>
      <c r="F205" s="34">
        <f t="shared" si="35"/>
        <v>25000</v>
      </c>
      <c r="G205" s="74"/>
      <c r="H205" s="70"/>
      <c r="I205" s="38"/>
      <c r="J205" s="38"/>
    </row>
    <row r="206" ht="14.25" customHeight="1">
      <c r="A206" s="39" t="s">
        <v>39</v>
      </c>
      <c r="B206" s="40"/>
      <c r="C206" s="42">
        <v>6500.0</v>
      </c>
      <c r="D206" s="40">
        <v>1.0</v>
      </c>
      <c r="E206" s="67">
        <v>0.0</v>
      </c>
      <c r="F206" s="34">
        <f t="shared" si="35"/>
        <v>6500</v>
      </c>
      <c r="G206" s="74"/>
      <c r="H206" s="70"/>
      <c r="I206" s="38"/>
      <c r="J206" s="38"/>
    </row>
    <row r="207" ht="14.25" customHeight="1">
      <c r="A207" s="43" t="s">
        <v>51</v>
      </c>
      <c r="B207" s="44"/>
      <c r="C207" s="46"/>
      <c r="D207" s="44"/>
      <c r="E207" s="44"/>
      <c r="F207" s="48">
        <f>SUM(F204:F206)</f>
        <v>44000</v>
      </c>
      <c r="G207" s="79"/>
      <c r="H207" s="81">
        <v>155000.0</v>
      </c>
      <c r="I207" s="110">
        <f>F207/H207</f>
        <v>0.2838709677</v>
      </c>
      <c r="J207" s="54"/>
    </row>
    <row r="208" ht="14.25" customHeight="1">
      <c r="A208" s="57" t="s">
        <v>364</v>
      </c>
      <c r="B208" s="3"/>
      <c r="C208" s="3"/>
      <c r="D208" s="3"/>
      <c r="E208" s="3"/>
      <c r="F208" s="3"/>
      <c r="G208" s="58"/>
      <c r="H208" s="59"/>
      <c r="I208" s="63"/>
      <c r="J208" s="63"/>
    </row>
    <row r="209" ht="14.25" customHeight="1">
      <c r="A209" s="22" t="s">
        <v>366</v>
      </c>
      <c r="B209" s="23" t="s">
        <v>23</v>
      </c>
      <c r="C209" s="24">
        <v>25000.0</v>
      </c>
      <c r="D209" s="25">
        <v>0.5</v>
      </c>
      <c r="E209" s="67">
        <v>0.0</v>
      </c>
      <c r="F209" s="34">
        <f t="shared" ref="F209:F211" si="36">C209*D209+C209*D209*E209</f>
        <v>12500</v>
      </c>
      <c r="G209" s="74"/>
      <c r="H209" s="70"/>
      <c r="I209" s="38"/>
      <c r="J209" s="38"/>
    </row>
    <row r="210" ht="14.25" customHeight="1">
      <c r="A210" s="22" t="s">
        <v>363</v>
      </c>
      <c r="B210" s="23" t="s">
        <v>23</v>
      </c>
      <c r="C210" s="24">
        <v>125000.0</v>
      </c>
      <c r="D210" s="25">
        <v>0.15</v>
      </c>
      <c r="E210" s="67">
        <v>0.0</v>
      </c>
      <c r="F210" s="34">
        <f t="shared" si="36"/>
        <v>18750</v>
      </c>
      <c r="G210" s="74"/>
      <c r="H210" s="70"/>
      <c r="I210" s="38"/>
      <c r="J210" s="38"/>
    </row>
    <row r="211" ht="14.25" customHeight="1">
      <c r="A211" s="39" t="s">
        <v>39</v>
      </c>
      <c r="B211" s="40"/>
      <c r="C211" s="42">
        <v>6500.0</v>
      </c>
      <c r="D211" s="40">
        <v>1.0</v>
      </c>
      <c r="E211" s="67">
        <v>0.0</v>
      </c>
      <c r="F211" s="34">
        <f t="shared" si="36"/>
        <v>6500</v>
      </c>
      <c r="G211" s="74"/>
      <c r="H211" s="70"/>
      <c r="I211" s="38"/>
      <c r="J211" s="38"/>
    </row>
    <row r="212" ht="14.25" customHeight="1">
      <c r="A212" s="43" t="s">
        <v>51</v>
      </c>
      <c r="B212" s="44"/>
      <c r="C212" s="46"/>
      <c r="D212" s="44"/>
      <c r="E212" s="44"/>
      <c r="F212" s="48">
        <f>SUM(F209:F211)</f>
        <v>37750</v>
      </c>
      <c r="G212" s="79"/>
      <c r="H212" s="81">
        <v>155000.0</v>
      </c>
      <c r="I212" s="110">
        <f>F212/H212</f>
        <v>0.2435483871</v>
      </c>
      <c r="J212" s="54"/>
    </row>
    <row r="213" ht="14.25" customHeight="1">
      <c r="A213" s="57" t="s">
        <v>369</v>
      </c>
      <c r="B213" s="3"/>
      <c r="C213" s="3"/>
      <c r="D213" s="3"/>
      <c r="E213" s="3"/>
      <c r="F213" s="3"/>
      <c r="G213" s="58"/>
      <c r="H213" s="59"/>
      <c r="I213" s="63"/>
      <c r="J213" s="63"/>
    </row>
    <row r="214" ht="14.25" customHeight="1">
      <c r="A214" s="180" t="s">
        <v>169</v>
      </c>
      <c r="B214" s="139" t="s">
        <v>23</v>
      </c>
      <c r="C214" s="141">
        <v>17000.0</v>
      </c>
      <c r="D214" s="139">
        <v>0.2</v>
      </c>
      <c r="E214" s="142">
        <v>0.0</v>
      </c>
      <c r="F214" s="143">
        <f t="shared" ref="F214:F216" si="37">C214*D214+C214*D214*E214</f>
        <v>3400</v>
      </c>
      <c r="G214" s="74"/>
      <c r="H214" s="70"/>
      <c r="I214" s="38"/>
      <c r="J214" s="38"/>
    </row>
    <row r="215" ht="14.25" customHeight="1">
      <c r="A215" s="39" t="s">
        <v>372</v>
      </c>
      <c r="B215" s="40" t="s">
        <v>23</v>
      </c>
      <c r="C215" s="42">
        <v>125000.0</v>
      </c>
      <c r="D215" s="40">
        <v>0.1</v>
      </c>
      <c r="E215" s="167">
        <v>0.0</v>
      </c>
      <c r="F215" s="34">
        <f t="shared" si="37"/>
        <v>12500</v>
      </c>
      <c r="G215" s="74"/>
      <c r="H215" s="70"/>
      <c r="I215" s="38"/>
      <c r="J215" s="38"/>
    </row>
    <row r="216" ht="14.25" customHeight="1">
      <c r="A216" s="39" t="s">
        <v>39</v>
      </c>
      <c r="B216" s="139"/>
      <c r="C216" s="141">
        <v>6500.0</v>
      </c>
      <c r="D216" s="139">
        <v>1.0</v>
      </c>
      <c r="E216" s="142">
        <v>0.0</v>
      </c>
      <c r="F216" s="34">
        <f t="shared" si="37"/>
        <v>6500</v>
      </c>
      <c r="G216" s="74"/>
      <c r="H216" s="70"/>
      <c r="I216" s="38"/>
      <c r="J216" s="38"/>
    </row>
    <row r="217" ht="14.25" customHeight="1">
      <c r="A217" s="43" t="s">
        <v>51</v>
      </c>
      <c r="B217" s="169"/>
      <c r="C217" s="170"/>
      <c r="D217" s="169"/>
      <c r="E217" s="169"/>
      <c r="F217" s="170">
        <f>SUM(F214:F216)</f>
        <v>22400</v>
      </c>
      <c r="G217" s="79"/>
      <c r="H217" s="81">
        <v>135000.0</v>
      </c>
      <c r="I217" s="110">
        <f>F217/H217</f>
        <v>0.1659259259</v>
      </c>
      <c r="J217" s="54"/>
    </row>
    <row r="218" ht="14.25" customHeight="1">
      <c r="A218" s="57" t="s">
        <v>375</v>
      </c>
      <c r="B218" s="3"/>
      <c r="C218" s="3"/>
      <c r="D218" s="3"/>
      <c r="E218" s="3"/>
      <c r="F218" s="3"/>
      <c r="G218" s="58"/>
      <c r="H218" s="59"/>
      <c r="I218" s="63"/>
      <c r="J218" s="63"/>
    </row>
    <row r="219" ht="14.25" customHeight="1">
      <c r="A219" s="22" t="s">
        <v>48</v>
      </c>
      <c r="B219" s="23" t="s">
        <v>23</v>
      </c>
      <c r="C219" s="24">
        <v>115000.0</v>
      </c>
      <c r="D219" s="25">
        <v>0.35</v>
      </c>
      <c r="E219" s="67">
        <v>0.0</v>
      </c>
      <c r="F219" s="34">
        <f t="shared" ref="F219:F220" si="38">C219*D219+C219*D219*E219</f>
        <v>40250</v>
      </c>
      <c r="G219" s="74"/>
      <c r="H219" s="70"/>
      <c r="I219" s="38"/>
      <c r="J219" s="38"/>
    </row>
    <row r="220" ht="14.25" customHeight="1">
      <c r="A220" s="39" t="s">
        <v>39</v>
      </c>
      <c r="B220" s="40"/>
      <c r="C220" s="42">
        <v>6500.0</v>
      </c>
      <c r="D220" s="40">
        <v>1.0</v>
      </c>
      <c r="E220" s="67">
        <v>0.0</v>
      </c>
      <c r="F220" s="34">
        <f t="shared" si="38"/>
        <v>6500</v>
      </c>
      <c r="G220" s="74"/>
      <c r="H220" s="70"/>
      <c r="I220" s="38"/>
      <c r="J220" s="38"/>
    </row>
    <row r="221" ht="14.25" customHeight="1">
      <c r="A221" s="43" t="s">
        <v>51</v>
      </c>
      <c r="B221" s="44"/>
      <c r="C221" s="46"/>
      <c r="D221" s="44"/>
      <c r="E221" s="44"/>
      <c r="F221" s="48">
        <f>SUM(F219:F220)</f>
        <v>46750</v>
      </c>
      <c r="G221" s="79"/>
      <c r="H221" s="81">
        <v>155000.0</v>
      </c>
      <c r="I221" s="110">
        <f>F221/H221</f>
        <v>0.3016129032</v>
      </c>
      <c r="J221" s="54"/>
    </row>
    <row r="222" ht="14.25" customHeight="1">
      <c r="A222" s="57" t="s">
        <v>377</v>
      </c>
      <c r="B222" s="3"/>
      <c r="C222" s="3"/>
      <c r="D222" s="3"/>
      <c r="E222" s="3"/>
      <c r="F222" s="3"/>
      <c r="G222" s="58"/>
      <c r="H222" s="59"/>
      <c r="I222" s="63"/>
      <c r="J222" s="63"/>
    </row>
    <row r="223" ht="14.25" customHeight="1">
      <c r="A223" s="22" t="s">
        <v>324</v>
      </c>
      <c r="B223" s="23" t="s">
        <v>23</v>
      </c>
      <c r="C223" s="24">
        <v>30000.0</v>
      </c>
      <c r="D223" s="25">
        <v>0.1</v>
      </c>
      <c r="E223" s="67">
        <v>0.0</v>
      </c>
      <c r="F223" s="34">
        <f t="shared" ref="F223:F225" si="39">C223*D223+C223*D223*E223</f>
        <v>3000</v>
      </c>
      <c r="G223" s="74"/>
      <c r="H223" s="70"/>
      <c r="I223" s="38"/>
      <c r="J223" s="38"/>
    </row>
    <row r="224" ht="14.25" customHeight="1">
      <c r="A224" s="22" t="s">
        <v>379</v>
      </c>
      <c r="B224" s="23" t="s">
        <v>23</v>
      </c>
      <c r="C224" s="24">
        <v>160000.0</v>
      </c>
      <c r="D224" s="25">
        <v>0.4</v>
      </c>
      <c r="E224" s="67">
        <v>0.0</v>
      </c>
      <c r="F224" s="34">
        <f t="shared" si="39"/>
        <v>64000</v>
      </c>
      <c r="G224" s="74"/>
      <c r="H224" s="70"/>
      <c r="I224" s="38"/>
      <c r="J224" s="38"/>
    </row>
    <row r="225" ht="14.25" customHeight="1">
      <c r="A225" s="39" t="s">
        <v>39</v>
      </c>
      <c r="B225" s="139"/>
      <c r="C225" s="141">
        <v>8000.0</v>
      </c>
      <c r="D225" s="139">
        <v>1.0</v>
      </c>
      <c r="E225" s="142">
        <v>0.0</v>
      </c>
      <c r="F225" s="143">
        <f t="shared" si="39"/>
        <v>8000</v>
      </c>
      <c r="G225" s="74"/>
      <c r="H225" s="70"/>
      <c r="I225" s="38"/>
      <c r="J225" s="38"/>
    </row>
    <row r="226" ht="14.25" customHeight="1">
      <c r="A226" s="43" t="s">
        <v>51</v>
      </c>
      <c r="B226" s="44"/>
      <c r="C226" s="46"/>
      <c r="D226" s="44"/>
      <c r="E226" s="44"/>
      <c r="F226" s="48">
        <f>SUM(F223:F224)</f>
        <v>67000</v>
      </c>
      <c r="G226" s="79"/>
      <c r="H226" s="81">
        <v>195000.0</v>
      </c>
      <c r="I226" s="110">
        <f>F226/H226</f>
        <v>0.3435897436</v>
      </c>
      <c r="J226" s="54"/>
    </row>
    <row r="227" ht="14.25" customHeight="1">
      <c r="A227" s="57" t="s">
        <v>380</v>
      </c>
      <c r="B227" s="3"/>
      <c r="C227" s="3"/>
      <c r="D227" s="3"/>
      <c r="E227" s="3"/>
      <c r="F227" s="3"/>
      <c r="G227" s="58"/>
      <c r="H227" s="59"/>
      <c r="I227" s="63"/>
      <c r="J227" s="63"/>
    </row>
    <row r="228" ht="14.25" customHeight="1">
      <c r="A228" s="22" t="s">
        <v>324</v>
      </c>
      <c r="B228" s="23" t="s">
        <v>23</v>
      </c>
      <c r="C228" s="24">
        <v>30000.0</v>
      </c>
      <c r="D228" s="25">
        <v>0.1</v>
      </c>
      <c r="E228" s="67">
        <v>0.0</v>
      </c>
      <c r="F228" s="34">
        <f>D228*C228</f>
        <v>3000</v>
      </c>
      <c r="G228" s="74"/>
      <c r="H228" s="70"/>
      <c r="I228" s="38"/>
      <c r="J228" s="38"/>
    </row>
    <row r="229" ht="14.25" customHeight="1">
      <c r="A229" s="22" t="s">
        <v>381</v>
      </c>
      <c r="B229" s="23" t="s">
        <v>23</v>
      </c>
      <c r="C229" s="24">
        <v>55000.0</v>
      </c>
      <c r="D229" s="25">
        <v>0.4</v>
      </c>
      <c r="E229" s="67"/>
      <c r="F229" s="34">
        <f t="shared" ref="F229:F230" si="40">C229*D229+C229*D229*E229</f>
        <v>22000</v>
      </c>
      <c r="G229" s="74"/>
      <c r="H229" s="70"/>
      <c r="I229" s="38"/>
      <c r="J229" s="38"/>
    </row>
    <row r="230" ht="14.25" customHeight="1">
      <c r="A230" s="39" t="s">
        <v>39</v>
      </c>
      <c r="B230" s="139"/>
      <c r="C230" s="141">
        <v>8000.0</v>
      </c>
      <c r="D230" s="139">
        <v>1.0</v>
      </c>
      <c r="E230" s="142">
        <v>0.0</v>
      </c>
      <c r="F230" s="143">
        <f t="shared" si="40"/>
        <v>8000</v>
      </c>
      <c r="G230" s="74"/>
      <c r="H230" s="70"/>
      <c r="I230" s="38"/>
      <c r="J230" s="38"/>
    </row>
    <row r="231" ht="14.25" customHeight="1">
      <c r="A231" s="43" t="s">
        <v>51</v>
      </c>
      <c r="B231" s="44"/>
      <c r="C231" s="46"/>
      <c r="D231" s="44"/>
      <c r="E231" s="44"/>
      <c r="F231" s="48">
        <f>SUM(F228:F229)</f>
        <v>25000</v>
      </c>
      <c r="G231" s="79"/>
      <c r="H231" s="81">
        <v>135000.0</v>
      </c>
      <c r="I231" s="110">
        <f>F231/H231</f>
        <v>0.1851851852</v>
      </c>
      <c r="J231" s="54"/>
    </row>
    <row r="232" ht="14.25" customHeight="1">
      <c r="A232" s="57" t="s">
        <v>382</v>
      </c>
      <c r="B232" s="3"/>
      <c r="C232" s="3"/>
      <c r="D232" s="3"/>
      <c r="E232" s="3"/>
      <c r="F232" s="3"/>
      <c r="G232" s="58"/>
      <c r="H232" s="70"/>
      <c r="I232" s="63"/>
      <c r="J232" s="63"/>
    </row>
    <row r="233" ht="14.25" customHeight="1">
      <c r="A233" s="22" t="s">
        <v>229</v>
      </c>
      <c r="B233" s="23" t="s">
        <v>8</v>
      </c>
      <c r="C233" s="24">
        <v>230000.0</v>
      </c>
      <c r="D233" s="25">
        <v>0.1</v>
      </c>
      <c r="E233" s="67">
        <v>0.0</v>
      </c>
      <c r="F233" s="34">
        <f t="shared" ref="F233:F235" si="41">C233*D233+C233*D233*E233</f>
        <v>23000</v>
      </c>
      <c r="G233" s="74"/>
      <c r="H233" s="70"/>
      <c r="I233" s="38"/>
      <c r="J233" s="38"/>
    </row>
    <row r="234" ht="14.25" customHeight="1">
      <c r="A234" s="22" t="s">
        <v>383</v>
      </c>
      <c r="B234" s="23" t="s">
        <v>8</v>
      </c>
      <c r="C234" s="24">
        <v>25000.0</v>
      </c>
      <c r="D234" s="25">
        <v>0.4</v>
      </c>
      <c r="E234" s="67">
        <v>0.0</v>
      </c>
      <c r="F234" s="34">
        <f t="shared" si="41"/>
        <v>10000</v>
      </c>
      <c r="G234" s="74"/>
      <c r="H234" s="70"/>
      <c r="I234" s="38"/>
      <c r="J234" s="38"/>
    </row>
    <row r="235" ht="14.25" customHeight="1">
      <c r="A235" s="39" t="s">
        <v>39</v>
      </c>
      <c r="B235" s="40"/>
      <c r="C235" s="42">
        <v>8000.0</v>
      </c>
      <c r="D235" s="40">
        <v>1.0</v>
      </c>
      <c r="E235" s="67">
        <v>0.0</v>
      </c>
      <c r="F235" s="34">
        <f t="shared" si="41"/>
        <v>8000</v>
      </c>
      <c r="G235" s="74"/>
      <c r="H235" s="70"/>
      <c r="I235" s="38"/>
      <c r="J235" s="38"/>
    </row>
    <row r="236" ht="14.25" customHeight="1">
      <c r="A236" s="43" t="s">
        <v>51</v>
      </c>
      <c r="B236" s="44"/>
      <c r="C236" s="46"/>
      <c r="D236" s="44"/>
      <c r="E236" s="44"/>
      <c r="F236" s="48">
        <f>SUM(F233:F235)</f>
        <v>41000</v>
      </c>
      <c r="G236" s="79"/>
      <c r="H236" s="81">
        <v>155000.0</v>
      </c>
      <c r="I236" s="110">
        <f>F236/H236</f>
        <v>0.264516129</v>
      </c>
      <c r="J236" s="54"/>
    </row>
    <row r="237" ht="14.25" customHeight="1">
      <c r="A237" s="57" t="s">
        <v>385</v>
      </c>
      <c r="B237" s="3"/>
      <c r="C237" s="3"/>
      <c r="D237" s="3"/>
      <c r="E237" s="3"/>
      <c r="F237" s="3"/>
      <c r="G237" s="58"/>
      <c r="H237" s="70"/>
      <c r="I237" s="63"/>
      <c r="J237" s="63"/>
    </row>
    <row r="238" ht="14.25" customHeight="1">
      <c r="A238" s="22" t="s">
        <v>229</v>
      </c>
      <c r="B238" s="23" t="s">
        <v>8</v>
      </c>
      <c r="C238" s="24">
        <v>230000.0</v>
      </c>
      <c r="D238" s="25">
        <v>0.1</v>
      </c>
      <c r="E238" s="67">
        <v>0.0</v>
      </c>
      <c r="F238" s="34">
        <f t="shared" ref="F238:F240" si="42">C238*D238+C238*D238*E238</f>
        <v>23000</v>
      </c>
      <c r="G238" s="74"/>
      <c r="H238" s="70"/>
      <c r="I238" s="38"/>
      <c r="J238" s="38"/>
    </row>
    <row r="239" ht="14.25" customHeight="1">
      <c r="A239" s="22" t="s">
        <v>324</v>
      </c>
      <c r="B239" s="23" t="s">
        <v>23</v>
      </c>
      <c r="C239" s="24">
        <v>30000.0</v>
      </c>
      <c r="D239" s="25">
        <v>0.5</v>
      </c>
      <c r="E239" s="67">
        <v>0.0</v>
      </c>
      <c r="F239" s="34">
        <f t="shared" si="42"/>
        <v>15000</v>
      </c>
      <c r="G239" s="74"/>
      <c r="H239" s="70"/>
      <c r="I239" s="38"/>
      <c r="J239" s="38"/>
    </row>
    <row r="240" ht="14.25" customHeight="1">
      <c r="A240" s="39" t="s">
        <v>39</v>
      </c>
      <c r="B240" s="40"/>
      <c r="C240" s="42">
        <v>8000.0</v>
      </c>
      <c r="D240" s="40">
        <v>1.0</v>
      </c>
      <c r="E240" s="67">
        <v>0.0</v>
      </c>
      <c r="F240" s="34">
        <f t="shared" si="42"/>
        <v>8000</v>
      </c>
      <c r="G240" s="74"/>
      <c r="H240" s="70"/>
      <c r="I240" s="38"/>
      <c r="J240" s="38"/>
    </row>
    <row r="241" ht="14.25" customHeight="1">
      <c r="A241" s="43" t="s">
        <v>51</v>
      </c>
      <c r="B241" s="44"/>
      <c r="C241" s="46"/>
      <c r="D241" s="44"/>
      <c r="E241" s="44"/>
      <c r="F241" s="48">
        <f>SUM(F238:F240)</f>
        <v>46000</v>
      </c>
      <c r="G241" s="79"/>
      <c r="H241" s="81">
        <v>155000.0</v>
      </c>
      <c r="I241" s="110">
        <f>F241/H241</f>
        <v>0.2967741935</v>
      </c>
      <c r="J241" s="54"/>
    </row>
    <row r="242" ht="14.25" customHeight="1">
      <c r="A242" s="57" t="s">
        <v>320</v>
      </c>
      <c r="B242" s="3"/>
      <c r="C242" s="3"/>
      <c r="D242" s="3"/>
      <c r="E242" s="3"/>
      <c r="F242" s="3"/>
      <c r="G242" s="58"/>
      <c r="H242" s="59"/>
      <c r="I242" s="38"/>
    </row>
    <row r="243" ht="14.25" customHeight="1">
      <c r="A243" s="91" t="s">
        <v>29</v>
      </c>
      <c r="B243" s="92" t="s">
        <v>23</v>
      </c>
      <c r="C243" s="24">
        <v>35000.0</v>
      </c>
      <c r="D243" s="92">
        <v>0.1</v>
      </c>
      <c r="E243" s="67">
        <v>0.0</v>
      </c>
      <c r="F243" s="34">
        <f t="shared" ref="F243:F252" si="43">C243*D243+C243*D243*E243</f>
        <v>3500</v>
      </c>
      <c r="G243" s="74"/>
      <c r="H243" s="70"/>
      <c r="I243" s="38"/>
    </row>
    <row r="244" ht="14.25" customHeight="1">
      <c r="A244" s="91" t="s">
        <v>280</v>
      </c>
      <c r="B244" s="92" t="s">
        <v>23</v>
      </c>
      <c r="C244" s="24">
        <v>21000.0</v>
      </c>
      <c r="D244" s="92">
        <v>0.5</v>
      </c>
      <c r="E244" s="67">
        <v>0.0</v>
      </c>
      <c r="F244" s="34">
        <f t="shared" si="43"/>
        <v>10500</v>
      </c>
      <c r="G244" s="74"/>
      <c r="H244" s="70"/>
      <c r="I244" s="38"/>
    </row>
    <row r="245" ht="14.25" customHeight="1">
      <c r="A245" s="91" t="s">
        <v>199</v>
      </c>
      <c r="B245" s="92" t="s">
        <v>336</v>
      </c>
      <c r="C245" s="24">
        <v>7000.0</v>
      </c>
      <c r="D245" s="92">
        <v>1.0</v>
      </c>
      <c r="E245" s="67">
        <v>0.0</v>
      </c>
      <c r="F245" s="34">
        <f t="shared" si="43"/>
        <v>7000</v>
      </c>
      <c r="G245" s="74"/>
      <c r="H245" s="70"/>
      <c r="I245" s="38"/>
    </row>
    <row r="246" ht="14.25" customHeight="1">
      <c r="A246" s="91" t="s">
        <v>256</v>
      </c>
      <c r="B246" s="92" t="s">
        <v>8</v>
      </c>
      <c r="C246" s="24">
        <v>32000.0</v>
      </c>
      <c r="D246" s="92">
        <v>0.3</v>
      </c>
      <c r="E246" s="67">
        <v>0.0</v>
      </c>
      <c r="F246" s="34">
        <f t="shared" si="43"/>
        <v>9600</v>
      </c>
      <c r="G246" s="74"/>
      <c r="H246" s="70"/>
      <c r="I246" s="38"/>
    </row>
    <row r="247" ht="14.25" customHeight="1">
      <c r="A247" s="91" t="s">
        <v>392</v>
      </c>
      <c r="B247" s="92" t="s">
        <v>8</v>
      </c>
      <c r="C247" s="24">
        <v>19000.0</v>
      </c>
      <c r="D247" s="92">
        <v>0.3</v>
      </c>
      <c r="E247" s="67">
        <v>0.0</v>
      </c>
      <c r="F247" s="34">
        <f t="shared" si="43"/>
        <v>5700</v>
      </c>
      <c r="G247" s="74"/>
      <c r="H247" s="70"/>
      <c r="I247" s="38"/>
    </row>
    <row r="248" ht="14.25" customHeight="1">
      <c r="A248" s="91" t="s">
        <v>18</v>
      </c>
      <c r="B248" s="92" t="s">
        <v>23</v>
      </c>
      <c r="C248" s="24">
        <v>15000.0</v>
      </c>
      <c r="D248" s="92">
        <v>0.1</v>
      </c>
      <c r="E248" s="67">
        <v>0.0</v>
      </c>
      <c r="F248" s="34">
        <f t="shared" si="43"/>
        <v>1500</v>
      </c>
      <c r="G248" s="74"/>
      <c r="H248" s="70"/>
      <c r="I248" s="38"/>
    </row>
    <row r="249" ht="14.25" customHeight="1">
      <c r="A249" s="91" t="s">
        <v>325</v>
      </c>
      <c r="B249" s="92" t="s">
        <v>23</v>
      </c>
      <c r="C249" s="24">
        <v>160000.0</v>
      </c>
      <c r="D249" s="92">
        <v>0.5</v>
      </c>
      <c r="E249" s="67">
        <v>0.0</v>
      </c>
      <c r="F249" s="34">
        <f t="shared" si="43"/>
        <v>80000</v>
      </c>
      <c r="G249" s="74"/>
      <c r="H249" s="70"/>
      <c r="I249" s="38"/>
    </row>
    <row r="250" ht="14.25" customHeight="1">
      <c r="A250" s="91" t="s">
        <v>297</v>
      </c>
      <c r="B250" s="92" t="s">
        <v>105</v>
      </c>
      <c r="C250" s="24">
        <v>3500.0</v>
      </c>
      <c r="D250" s="92">
        <v>3.0</v>
      </c>
      <c r="E250" s="67">
        <v>0.0</v>
      </c>
      <c r="F250" s="34">
        <f t="shared" si="43"/>
        <v>10500</v>
      </c>
      <c r="G250" s="74"/>
      <c r="H250" s="70"/>
      <c r="I250" s="38"/>
    </row>
    <row r="251" ht="14.25" customHeight="1">
      <c r="A251" s="91" t="s">
        <v>324</v>
      </c>
      <c r="B251" s="92" t="s">
        <v>23</v>
      </c>
      <c r="C251" s="24">
        <v>30000.0</v>
      </c>
      <c r="D251" s="92">
        <v>0.1</v>
      </c>
      <c r="E251" s="67">
        <v>0.0</v>
      </c>
      <c r="F251" s="34">
        <f t="shared" si="43"/>
        <v>3000</v>
      </c>
      <c r="G251" s="74"/>
      <c r="H251" s="70"/>
      <c r="I251" s="38"/>
    </row>
    <row r="252" ht="14.25" customHeight="1">
      <c r="A252" s="39" t="s">
        <v>39</v>
      </c>
      <c r="B252" s="40"/>
      <c r="C252" s="42">
        <v>8500.0</v>
      </c>
      <c r="D252" s="40">
        <v>1.0</v>
      </c>
      <c r="E252" s="67">
        <v>0.0</v>
      </c>
      <c r="F252" s="34">
        <f t="shared" si="43"/>
        <v>8500</v>
      </c>
      <c r="G252" s="74"/>
      <c r="H252" s="70"/>
      <c r="I252" s="38"/>
    </row>
    <row r="253" ht="14.25" customHeight="1">
      <c r="A253" s="43" t="s">
        <v>51</v>
      </c>
      <c r="B253" s="44"/>
      <c r="C253" s="46"/>
      <c r="D253" s="44"/>
      <c r="E253" s="44"/>
      <c r="F253" s="48">
        <f>SUM(F243:F252)</f>
        <v>139800</v>
      </c>
      <c r="G253" s="79"/>
      <c r="H253" s="81">
        <v>395000.0</v>
      </c>
      <c r="I253" s="110">
        <f>F253/H253</f>
        <v>0.3539240506</v>
      </c>
    </row>
    <row r="254" ht="14.25" customHeight="1">
      <c r="A254" s="57" t="s">
        <v>393</v>
      </c>
      <c r="B254" s="3"/>
      <c r="C254" s="3"/>
      <c r="D254" s="3"/>
      <c r="E254" s="3"/>
      <c r="F254" s="3"/>
      <c r="G254" s="58"/>
      <c r="H254" s="59"/>
      <c r="I254" s="63"/>
    </row>
    <row r="255" ht="14.25" customHeight="1">
      <c r="A255" s="91" t="s">
        <v>29</v>
      </c>
      <c r="B255" s="92" t="s">
        <v>23</v>
      </c>
      <c r="C255" s="24">
        <v>35000.0</v>
      </c>
      <c r="D255" s="92">
        <v>0.1</v>
      </c>
      <c r="E255" s="67">
        <v>0.0</v>
      </c>
      <c r="F255" s="34">
        <f t="shared" ref="F255:F264" si="44">C255*D255+C255*D255*E255</f>
        <v>3500</v>
      </c>
      <c r="G255" s="74"/>
      <c r="H255" s="70"/>
      <c r="I255" s="38"/>
    </row>
    <row r="256" ht="14.25" customHeight="1">
      <c r="A256" s="91" t="s">
        <v>280</v>
      </c>
      <c r="B256" s="92" t="s">
        <v>23</v>
      </c>
      <c r="C256" s="24">
        <v>21000.0</v>
      </c>
      <c r="D256" s="92">
        <v>0.5</v>
      </c>
      <c r="E256" s="67">
        <v>0.0</v>
      </c>
      <c r="F256" s="34">
        <f t="shared" si="44"/>
        <v>10500</v>
      </c>
      <c r="G256" s="74"/>
      <c r="H256" s="70"/>
      <c r="I256" s="38"/>
    </row>
    <row r="257" ht="14.25" customHeight="1">
      <c r="A257" s="91" t="s">
        <v>199</v>
      </c>
      <c r="B257" s="92" t="s">
        <v>336</v>
      </c>
      <c r="C257" s="24">
        <v>7000.0</v>
      </c>
      <c r="D257" s="92">
        <v>1.0</v>
      </c>
      <c r="E257" s="67">
        <v>0.0</v>
      </c>
      <c r="F257" s="34">
        <f t="shared" si="44"/>
        <v>7000</v>
      </c>
      <c r="G257" s="74"/>
      <c r="H257" s="70"/>
      <c r="I257" s="38"/>
    </row>
    <row r="258" ht="14.25" customHeight="1">
      <c r="A258" s="91" t="s">
        <v>256</v>
      </c>
      <c r="B258" s="92" t="s">
        <v>8</v>
      </c>
      <c r="C258" s="24">
        <v>32000.0</v>
      </c>
      <c r="D258" s="92">
        <v>0.3</v>
      </c>
      <c r="E258" s="67">
        <v>0.0</v>
      </c>
      <c r="F258" s="34">
        <f t="shared" si="44"/>
        <v>9600</v>
      </c>
      <c r="G258" s="74"/>
      <c r="H258" s="70"/>
      <c r="I258" s="38"/>
    </row>
    <row r="259" ht="14.25" customHeight="1">
      <c r="A259" s="91" t="s">
        <v>392</v>
      </c>
      <c r="B259" s="92" t="s">
        <v>8</v>
      </c>
      <c r="C259" s="24">
        <v>19000.0</v>
      </c>
      <c r="D259" s="92">
        <v>0.3</v>
      </c>
      <c r="E259" s="67">
        <v>0.0</v>
      </c>
      <c r="F259" s="34">
        <f t="shared" si="44"/>
        <v>5700</v>
      </c>
      <c r="G259" s="74"/>
      <c r="H259" s="70"/>
      <c r="I259" s="38"/>
    </row>
    <row r="260" ht="14.25" customHeight="1">
      <c r="A260" s="91" t="s">
        <v>18</v>
      </c>
      <c r="B260" s="92" t="s">
        <v>23</v>
      </c>
      <c r="C260" s="24">
        <v>15000.0</v>
      </c>
      <c r="D260" s="92">
        <v>0.1</v>
      </c>
      <c r="E260" s="67">
        <v>0.0</v>
      </c>
      <c r="F260" s="34">
        <f t="shared" si="44"/>
        <v>1500</v>
      </c>
      <c r="G260" s="74"/>
      <c r="H260" s="70"/>
      <c r="I260" s="38"/>
    </row>
    <row r="261" ht="14.25" customHeight="1">
      <c r="A261" s="91" t="s">
        <v>229</v>
      </c>
      <c r="B261" s="92" t="s">
        <v>23</v>
      </c>
      <c r="C261" s="24">
        <v>230000.0</v>
      </c>
      <c r="D261" s="92">
        <v>0.4</v>
      </c>
      <c r="E261" s="67">
        <v>0.0</v>
      </c>
      <c r="F261" s="34">
        <f t="shared" si="44"/>
        <v>92000</v>
      </c>
      <c r="G261" s="74"/>
      <c r="H261" s="70"/>
      <c r="I261" s="38"/>
    </row>
    <row r="262" ht="14.25" customHeight="1">
      <c r="A262" s="91" t="s">
        <v>297</v>
      </c>
      <c r="B262" s="92" t="s">
        <v>105</v>
      </c>
      <c r="C262" s="24">
        <v>3500.0</v>
      </c>
      <c r="D262" s="92">
        <v>3.0</v>
      </c>
      <c r="E262" s="67">
        <v>0.0</v>
      </c>
      <c r="F262" s="34">
        <f t="shared" si="44"/>
        <v>10500</v>
      </c>
      <c r="G262" s="74"/>
      <c r="H262" s="70"/>
      <c r="I262" s="38"/>
    </row>
    <row r="263" ht="14.25" customHeight="1">
      <c r="A263" s="91" t="s">
        <v>324</v>
      </c>
      <c r="B263" s="92" t="s">
        <v>23</v>
      </c>
      <c r="C263" s="24">
        <v>30000.0</v>
      </c>
      <c r="D263" s="92">
        <v>0.1</v>
      </c>
      <c r="E263" s="67">
        <v>0.0</v>
      </c>
      <c r="F263" s="34">
        <f t="shared" si="44"/>
        <v>3000</v>
      </c>
      <c r="G263" s="74"/>
      <c r="H263" s="70"/>
      <c r="I263" s="38"/>
    </row>
    <row r="264" ht="14.25" customHeight="1">
      <c r="A264" s="39" t="s">
        <v>39</v>
      </c>
      <c r="B264" s="40"/>
      <c r="C264" s="42">
        <v>8500.0</v>
      </c>
      <c r="D264" s="40">
        <v>1.0</v>
      </c>
      <c r="E264" s="67">
        <v>0.0</v>
      </c>
      <c r="F264" s="34">
        <f t="shared" si="44"/>
        <v>8500</v>
      </c>
      <c r="G264" s="74"/>
      <c r="H264" s="70"/>
      <c r="I264" s="38"/>
    </row>
    <row r="265" ht="14.25" customHeight="1">
      <c r="A265" s="43" t="s">
        <v>51</v>
      </c>
      <c r="B265" s="44"/>
      <c r="C265" s="46"/>
      <c r="D265" s="44"/>
      <c r="E265" s="44"/>
      <c r="F265" s="48">
        <f>SUM(F255:F264)</f>
        <v>151800</v>
      </c>
      <c r="G265" s="79"/>
      <c r="H265" s="81">
        <v>395000.0</v>
      </c>
      <c r="I265" s="110">
        <f>F265/H265</f>
        <v>0.3843037975</v>
      </c>
    </row>
    <row r="266" ht="14.25" customHeight="1">
      <c r="A266" s="57" t="s">
        <v>394</v>
      </c>
      <c r="B266" s="3"/>
      <c r="C266" s="3"/>
      <c r="D266" s="3"/>
      <c r="E266" s="3"/>
      <c r="F266" s="3"/>
      <c r="G266" s="58"/>
      <c r="H266" s="59"/>
      <c r="I266" s="63"/>
    </row>
    <row r="267" ht="14.25" customHeight="1">
      <c r="A267" s="91" t="s">
        <v>29</v>
      </c>
      <c r="B267" s="92" t="s">
        <v>23</v>
      </c>
      <c r="C267" s="24">
        <v>35000.0</v>
      </c>
      <c r="D267" s="92">
        <v>0.1</v>
      </c>
      <c r="E267" s="67">
        <v>0.0</v>
      </c>
      <c r="F267" s="34">
        <f t="shared" ref="F267:F276" si="45">C267*D267+C267*D267*E267</f>
        <v>3500</v>
      </c>
      <c r="G267" s="74"/>
      <c r="H267" s="70"/>
      <c r="I267" s="38"/>
    </row>
    <row r="268" ht="14.25" customHeight="1">
      <c r="A268" s="91" t="s">
        <v>280</v>
      </c>
      <c r="B268" s="92" t="s">
        <v>23</v>
      </c>
      <c r="C268" s="24">
        <v>21000.0</v>
      </c>
      <c r="D268" s="92">
        <v>0.5</v>
      </c>
      <c r="E268" s="67">
        <v>0.0</v>
      </c>
      <c r="F268" s="34">
        <f t="shared" si="45"/>
        <v>10500</v>
      </c>
      <c r="G268" s="74"/>
      <c r="H268" s="70"/>
      <c r="I268" s="38"/>
    </row>
    <row r="269" ht="14.25" customHeight="1">
      <c r="A269" s="91" t="s">
        <v>199</v>
      </c>
      <c r="B269" s="92" t="s">
        <v>336</v>
      </c>
      <c r="C269" s="24">
        <v>7000.0</v>
      </c>
      <c r="D269" s="92">
        <v>1.0</v>
      </c>
      <c r="E269" s="67">
        <v>0.0</v>
      </c>
      <c r="F269" s="34">
        <f t="shared" si="45"/>
        <v>7000</v>
      </c>
      <c r="G269" s="74"/>
      <c r="H269" s="70"/>
      <c r="I269" s="38"/>
    </row>
    <row r="270" ht="14.25" customHeight="1">
      <c r="A270" s="91" t="s">
        <v>256</v>
      </c>
      <c r="B270" s="92" t="s">
        <v>8</v>
      </c>
      <c r="C270" s="24">
        <v>32000.0</v>
      </c>
      <c r="D270" s="92">
        <v>0.3</v>
      </c>
      <c r="E270" s="67">
        <v>0.0</v>
      </c>
      <c r="F270" s="34">
        <f t="shared" si="45"/>
        <v>9600</v>
      </c>
      <c r="G270" s="74"/>
      <c r="H270" s="70"/>
      <c r="I270" s="38"/>
    </row>
    <row r="271" ht="14.25" customHeight="1">
      <c r="A271" s="91" t="s">
        <v>392</v>
      </c>
      <c r="B271" s="92" t="s">
        <v>8</v>
      </c>
      <c r="C271" s="24">
        <v>19000.0</v>
      </c>
      <c r="D271" s="92">
        <v>0.3</v>
      </c>
      <c r="E271" s="67">
        <v>0.0</v>
      </c>
      <c r="F271" s="34">
        <f t="shared" si="45"/>
        <v>5700</v>
      </c>
      <c r="G271" s="74"/>
      <c r="H271" s="70"/>
      <c r="I271" s="38"/>
    </row>
    <row r="272" ht="14.25" customHeight="1">
      <c r="A272" s="91" t="s">
        <v>18</v>
      </c>
      <c r="B272" s="92" t="s">
        <v>23</v>
      </c>
      <c r="C272" s="24">
        <v>15000.0</v>
      </c>
      <c r="D272" s="92">
        <v>0.2</v>
      </c>
      <c r="E272" s="67">
        <v>0.0</v>
      </c>
      <c r="F272" s="34">
        <f t="shared" si="45"/>
        <v>3000</v>
      </c>
      <c r="G272" s="74"/>
      <c r="H272" s="70"/>
      <c r="I272" s="38"/>
    </row>
    <row r="273" ht="14.25" customHeight="1">
      <c r="A273" s="91" t="s">
        <v>48</v>
      </c>
      <c r="B273" s="92" t="s">
        <v>23</v>
      </c>
      <c r="C273" s="24">
        <v>115000.0</v>
      </c>
      <c r="D273" s="92">
        <v>0.7</v>
      </c>
      <c r="E273" s="67">
        <v>0.0</v>
      </c>
      <c r="F273" s="34">
        <f t="shared" si="45"/>
        <v>80500</v>
      </c>
      <c r="G273" s="74"/>
      <c r="H273" s="70"/>
      <c r="I273" s="38"/>
    </row>
    <row r="274" ht="14.25" customHeight="1">
      <c r="A274" s="91" t="s">
        <v>297</v>
      </c>
      <c r="B274" s="92" t="s">
        <v>105</v>
      </c>
      <c r="C274" s="24">
        <v>3500.0</v>
      </c>
      <c r="D274" s="92">
        <v>3.0</v>
      </c>
      <c r="E274" s="67">
        <v>0.0</v>
      </c>
      <c r="F274" s="34">
        <f t="shared" si="45"/>
        <v>10500</v>
      </c>
      <c r="G274" s="74"/>
      <c r="H274" s="70"/>
      <c r="I274" s="38"/>
    </row>
    <row r="275" ht="14.25" customHeight="1">
      <c r="A275" s="91" t="s">
        <v>324</v>
      </c>
      <c r="B275" s="92" t="s">
        <v>23</v>
      </c>
      <c r="C275" s="24">
        <v>30000.0</v>
      </c>
      <c r="D275" s="92">
        <v>0.1</v>
      </c>
      <c r="E275" s="67">
        <v>0.0</v>
      </c>
      <c r="F275" s="34">
        <f t="shared" si="45"/>
        <v>3000</v>
      </c>
      <c r="G275" s="74"/>
      <c r="H275" s="70"/>
      <c r="I275" s="38"/>
    </row>
    <row r="276" ht="14.25" customHeight="1">
      <c r="A276" s="39" t="s">
        <v>39</v>
      </c>
      <c r="B276" s="40"/>
      <c r="C276" s="42">
        <v>8500.0</v>
      </c>
      <c r="D276" s="40">
        <v>1.0</v>
      </c>
      <c r="E276" s="67">
        <v>0.0</v>
      </c>
      <c r="F276" s="34">
        <f t="shared" si="45"/>
        <v>8500</v>
      </c>
      <c r="G276" s="74"/>
      <c r="H276" s="70"/>
      <c r="I276" s="38"/>
    </row>
    <row r="277" ht="14.25" customHeight="1">
      <c r="A277" s="43" t="s">
        <v>51</v>
      </c>
      <c r="B277" s="44"/>
      <c r="C277" s="46"/>
      <c r="D277" s="44"/>
      <c r="E277" s="44"/>
      <c r="F277" s="48">
        <f>SUM(F267:F276)</f>
        <v>141800</v>
      </c>
      <c r="G277" s="79"/>
      <c r="H277" s="81">
        <v>395000.0</v>
      </c>
      <c r="I277" s="110">
        <f>F277/H277</f>
        <v>0.3589873418</v>
      </c>
    </row>
    <row r="278" ht="14.25" customHeight="1">
      <c r="A278" s="57" t="s">
        <v>395</v>
      </c>
      <c r="B278" s="3"/>
      <c r="C278" s="3"/>
      <c r="D278" s="3"/>
      <c r="E278" s="3"/>
      <c r="F278" s="3"/>
      <c r="G278" s="58"/>
      <c r="H278" s="59"/>
      <c r="I278" s="63"/>
    </row>
    <row r="279" ht="14.25" customHeight="1">
      <c r="A279" s="91" t="s">
        <v>83</v>
      </c>
      <c r="B279" s="92" t="s">
        <v>82</v>
      </c>
      <c r="C279" s="24">
        <v>120000.0</v>
      </c>
      <c r="D279" s="92">
        <v>0.5</v>
      </c>
      <c r="E279" s="67">
        <v>0.0</v>
      </c>
      <c r="F279" s="34">
        <f t="shared" ref="F279:F285" si="46">C279*D279+C279*D279*E279</f>
        <v>60000</v>
      </c>
      <c r="G279" s="74"/>
      <c r="H279" s="70"/>
      <c r="I279" s="38"/>
    </row>
    <row r="280" ht="14.25" customHeight="1">
      <c r="A280" s="91" t="s">
        <v>396</v>
      </c>
      <c r="B280" s="92" t="s">
        <v>215</v>
      </c>
      <c r="C280" s="24">
        <v>30000.0</v>
      </c>
      <c r="D280" s="92">
        <v>0.3</v>
      </c>
      <c r="E280" s="67">
        <v>0.0</v>
      </c>
      <c r="F280" s="34">
        <f t="shared" si="46"/>
        <v>9000</v>
      </c>
      <c r="G280" s="74"/>
      <c r="H280" s="70"/>
      <c r="I280" s="38"/>
    </row>
    <row r="281" ht="14.25" customHeight="1">
      <c r="A281" s="91" t="s">
        <v>80</v>
      </c>
      <c r="B281" s="92" t="s">
        <v>8</v>
      </c>
      <c r="C281" s="24">
        <v>42000.0</v>
      </c>
      <c r="D281" s="92">
        <v>0.5</v>
      </c>
      <c r="E281" s="67">
        <v>0.0</v>
      </c>
      <c r="F281" s="34">
        <f t="shared" si="46"/>
        <v>21000</v>
      </c>
      <c r="G281" s="74"/>
      <c r="H281" s="70"/>
      <c r="I281" s="38"/>
    </row>
    <row r="282" ht="14.25" customHeight="1">
      <c r="A282" s="91" t="s">
        <v>397</v>
      </c>
      <c r="B282" s="92" t="s">
        <v>8</v>
      </c>
      <c r="C282" s="24">
        <v>0.0</v>
      </c>
      <c r="D282" s="92">
        <v>0.5</v>
      </c>
      <c r="E282" s="67">
        <v>0.0</v>
      </c>
      <c r="F282" s="34">
        <f t="shared" si="46"/>
        <v>0</v>
      </c>
      <c r="G282" s="74"/>
      <c r="H282" s="70"/>
      <c r="I282" s="38"/>
    </row>
    <row r="283" ht="14.25" customHeight="1">
      <c r="A283" s="91" t="s">
        <v>392</v>
      </c>
      <c r="B283" s="92" t="s">
        <v>8</v>
      </c>
      <c r="C283" s="24">
        <v>19000.0</v>
      </c>
      <c r="D283" s="92">
        <v>0.3</v>
      </c>
      <c r="E283" s="67">
        <v>0.0</v>
      </c>
      <c r="F283" s="34">
        <f t="shared" si="46"/>
        <v>5700</v>
      </c>
      <c r="G283" s="74"/>
      <c r="H283" s="70"/>
      <c r="I283" s="38"/>
    </row>
    <row r="284" ht="14.25" customHeight="1">
      <c r="A284" s="91" t="s">
        <v>297</v>
      </c>
      <c r="B284" s="92" t="s">
        <v>105</v>
      </c>
      <c r="C284" s="24">
        <v>3500.0</v>
      </c>
      <c r="D284" s="92">
        <v>3.0</v>
      </c>
      <c r="E284" s="67">
        <v>0.0</v>
      </c>
      <c r="F284" s="34">
        <f t="shared" si="46"/>
        <v>10500</v>
      </c>
      <c r="G284" s="74"/>
      <c r="H284" s="70"/>
      <c r="I284" s="38"/>
    </row>
    <row r="285" ht="14.25" customHeight="1">
      <c r="A285" s="39" t="s">
        <v>39</v>
      </c>
      <c r="B285" s="40"/>
      <c r="C285" s="42">
        <v>8500.0</v>
      </c>
      <c r="D285" s="40">
        <v>1.0</v>
      </c>
      <c r="E285" s="67">
        <v>0.0</v>
      </c>
      <c r="F285" s="34">
        <f t="shared" si="46"/>
        <v>8500</v>
      </c>
      <c r="G285" s="74"/>
      <c r="H285" s="70"/>
      <c r="I285" s="38"/>
    </row>
    <row r="286" ht="14.25" customHeight="1">
      <c r="A286" s="43" t="s">
        <v>51</v>
      </c>
      <c r="B286" s="44"/>
      <c r="C286" s="46"/>
      <c r="D286" s="44"/>
      <c r="E286" s="44"/>
      <c r="F286" s="48">
        <f>SUM(F279:F285)</f>
        <v>114700</v>
      </c>
      <c r="G286" s="79"/>
      <c r="H286" s="81">
        <v>395000.0</v>
      </c>
      <c r="I286" s="110">
        <f>F286/H286</f>
        <v>0.2903797468</v>
      </c>
    </row>
    <row r="287" ht="14.25" customHeight="1">
      <c r="A287" s="57" t="s">
        <v>123</v>
      </c>
      <c r="B287" s="3"/>
      <c r="C287" s="3"/>
      <c r="D287" s="3"/>
      <c r="E287" s="3"/>
      <c r="F287" s="3"/>
      <c r="G287" s="58"/>
      <c r="H287" s="59"/>
      <c r="I287" s="63"/>
      <c r="J287" s="63"/>
    </row>
    <row r="288" ht="14.25" customHeight="1">
      <c r="A288" s="39" t="s">
        <v>127</v>
      </c>
      <c r="B288" s="139" t="s">
        <v>8</v>
      </c>
      <c r="C288" s="141">
        <v>10000.0</v>
      </c>
      <c r="D288" s="139">
        <v>0.1</v>
      </c>
      <c r="E288" s="142">
        <v>0.0</v>
      </c>
      <c r="F288" s="143">
        <f t="shared" ref="F288:F290" si="47">C288*D288+C288*D288*E288</f>
        <v>1000</v>
      </c>
      <c r="G288" s="74"/>
      <c r="H288" s="70"/>
      <c r="I288" s="38"/>
      <c r="J288" s="38"/>
    </row>
    <row r="289" ht="14.25" customHeight="1">
      <c r="A289" s="39" t="s">
        <v>138</v>
      </c>
      <c r="B289" s="40" t="s">
        <v>8</v>
      </c>
      <c r="C289" s="42">
        <v>12000.0</v>
      </c>
      <c r="D289" s="40">
        <v>0.3</v>
      </c>
      <c r="E289" s="167">
        <v>0.0</v>
      </c>
      <c r="F289" s="143">
        <f t="shared" si="47"/>
        <v>3600</v>
      </c>
      <c r="G289" s="74"/>
      <c r="H289" s="70"/>
      <c r="I289" s="38"/>
      <c r="J289" s="38"/>
    </row>
    <row r="290" ht="14.25" customHeight="1">
      <c r="A290" s="39" t="s">
        <v>39</v>
      </c>
      <c r="B290" s="139"/>
      <c r="C290" s="141">
        <v>6500.0</v>
      </c>
      <c r="D290" s="139">
        <v>1.0</v>
      </c>
      <c r="E290" s="142">
        <v>0.0</v>
      </c>
      <c r="F290" s="143">
        <f t="shared" si="47"/>
        <v>6500</v>
      </c>
      <c r="G290" s="74"/>
      <c r="H290" s="70"/>
      <c r="I290" s="38"/>
      <c r="J290" s="38"/>
    </row>
    <row r="291" ht="14.25" customHeight="1">
      <c r="A291" s="197" t="s">
        <v>143</v>
      </c>
      <c r="B291" s="44"/>
      <c r="C291" s="46"/>
      <c r="D291" s="44"/>
      <c r="E291" s="44"/>
      <c r="F291" s="48">
        <f>SUM(F288:F290)</f>
        <v>11100</v>
      </c>
      <c r="G291" s="79"/>
      <c r="H291" s="81">
        <v>105000.0</v>
      </c>
      <c r="I291" s="110">
        <f>F291/H291</f>
        <v>0.1057142857</v>
      </c>
      <c r="J291" s="54"/>
    </row>
    <row r="292" ht="14.25" customHeight="1">
      <c r="A292" s="13" t="s">
        <v>398</v>
      </c>
      <c r="B292" s="3"/>
      <c r="C292" s="3"/>
      <c r="D292" s="3"/>
      <c r="E292" s="3"/>
      <c r="F292" s="3"/>
      <c r="G292" s="3"/>
      <c r="H292" s="3"/>
      <c r="I292" s="3"/>
      <c r="J292" s="14"/>
    </row>
    <row r="293" ht="14.25" customHeight="1">
      <c r="A293" s="57" t="s">
        <v>399</v>
      </c>
      <c r="B293" s="3"/>
      <c r="C293" s="3"/>
      <c r="D293" s="3"/>
      <c r="E293" s="3"/>
      <c r="F293" s="3"/>
      <c r="G293" s="198"/>
      <c r="H293" s="199"/>
      <c r="I293" s="200"/>
      <c r="J293" s="63"/>
    </row>
    <row r="294" ht="14.25" customHeight="1">
      <c r="A294" s="22" t="s">
        <v>295</v>
      </c>
      <c r="B294" s="23" t="s">
        <v>23</v>
      </c>
      <c r="C294" s="24">
        <v>150000.0</v>
      </c>
      <c r="D294" s="25">
        <v>0.2</v>
      </c>
      <c r="E294" s="67">
        <v>0.0</v>
      </c>
      <c r="F294" s="34">
        <f t="shared" ref="F294:F295" si="48">C294*D294+C294*D294*E294</f>
        <v>30000</v>
      </c>
      <c r="G294" s="201"/>
      <c r="H294" s="202"/>
      <c r="I294" s="203"/>
      <c r="J294" s="38"/>
    </row>
    <row r="295" ht="14.25" customHeight="1">
      <c r="A295" s="39" t="s">
        <v>39</v>
      </c>
      <c r="B295" s="40"/>
      <c r="C295" s="42">
        <v>6500.0</v>
      </c>
      <c r="D295" s="40">
        <v>1.0</v>
      </c>
      <c r="E295" s="67">
        <v>0.0</v>
      </c>
      <c r="F295" s="34">
        <f t="shared" si="48"/>
        <v>6500</v>
      </c>
      <c r="G295" s="9"/>
      <c r="H295" s="204">
        <v>185000.0</v>
      </c>
      <c r="I295" s="110">
        <f>F296/H295</f>
        <v>0.1972972973</v>
      </c>
      <c r="J295" s="54"/>
    </row>
    <row r="296" ht="14.25" customHeight="1">
      <c r="A296" s="43" t="s">
        <v>51</v>
      </c>
      <c r="B296" s="44"/>
      <c r="C296" s="46"/>
      <c r="D296" s="44"/>
      <c r="E296" s="44"/>
      <c r="F296" s="48">
        <f>SUM(F294:F295)</f>
        <v>36500</v>
      </c>
      <c r="G296" s="58"/>
      <c r="H296" s="59"/>
      <c r="I296" s="63"/>
      <c r="J296" s="63"/>
    </row>
    <row r="297" ht="14.25" customHeight="1">
      <c r="A297" s="57" t="s">
        <v>237</v>
      </c>
      <c r="B297" s="3"/>
      <c r="C297" s="3"/>
      <c r="D297" s="3"/>
      <c r="E297" s="3"/>
      <c r="F297" s="6"/>
      <c r="G297" s="68"/>
      <c r="H297" s="70"/>
      <c r="I297" s="38"/>
      <c r="J297" s="38"/>
    </row>
    <row r="298" ht="14.25" customHeight="1">
      <c r="A298" s="22" t="s">
        <v>240</v>
      </c>
      <c r="B298" s="23" t="s">
        <v>23</v>
      </c>
      <c r="C298" s="24">
        <v>120000.0</v>
      </c>
      <c r="D298" s="25">
        <v>0.3</v>
      </c>
      <c r="E298" s="67">
        <v>0.0</v>
      </c>
      <c r="F298" s="34">
        <f t="shared" ref="F298:F299" si="49">C298*D298+C298*D298*E298</f>
        <v>36000</v>
      </c>
      <c r="G298" s="74"/>
      <c r="H298" s="70"/>
      <c r="I298" s="38"/>
      <c r="J298" s="38"/>
    </row>
    <row r="299" ht="14.25" customHeight="1">
      <c r="A299" s="39" t="s">
        <v>39</v>
      </c>
      <c r="B299" s="40"/>
      <c r="C299" s="42">
        <v>6500.0</v>
      </c>
      <c r="D299" s="40">
        <v>1.0</v>
      </c>
      <c r="E299" s="67">
        <v>0.0</v>
      </c>
      <c r="F299" s="34">
        <f t="shared" si="49"/>
        <v>6500</v>
      </c>
      <c r="G299" s="74"/>
      <c r="H299" s="70"/>
      <c r="I299" s="38"/>
      <c r="J299" s="38"/>
    </row>
    <row r="300" ht="14.25" customHeight="1">
      <c r="A300" s="43" t="s">
        <v>51</v>
      </c>
      <c r="B300" s="44"/>
      <c r="C300" s="46"/>
      <c r="D300" s="44"/>
      <c r="E300" s="44"/>
      <c r="F300" s="48">
        <f>SUM(F298:F299)</f>
        <v>42500</v>
      </c>
      <c r="G300" s="79"/>
      <c r="H300" s="81">
        <v>135000.0</v>
      </c>
      <c r="I300" s="110">
        <f>F300/H300</f>
        <v>0.3148148148</v>
      </c>
      <c r="J300" s="54"/>
    </row>
    <row r="301" ht="14.25" customHeight="1">
      <c r="A301" s="57" t="s">
        <v>400</v>
      </c>
      <c r="B301" s="3"/>
      <c r="C301" s="3"/>
      <c r="D301" s="3"/>
      <c r="E301" s="3"/>
      <c r="F301" s="3"/>
      <c r="G301" s="58"/>
      <c r="H301" s="70"/>
      <c r="I301" s="63"/>
      <c r="J301" s="63"/>
    </row>
    <row r="302" ht="14.25" customHeight="1">
      <c r="A302" s="91" t="s">
        <v>195</v>
      </c>
      <c r="B302" s="92" t="s">
        <v>8</v>
      </c>
      <c r="C302" s="24">
        <v>150000.0</v>
      </c>
      <c r="D302" s="92">
        <v>0.3</v>
      </c>
      <c r="E302" s="67">
        <v>0.0</v>
      </c>
      <c r="F302" s="171">
        <f t="shared" ref="F302:F303" si="50">C302*D302+C302*D302*E302</f>
        <v>45000</v>
      </c>
      <c r="G302" s="74"/>
      <c r="H302" s="70"/>
      <c r="I302" s="38"/>
      <c r="J302" s="38"/>
    </row>
    <row r="303" ht="14.25" customHeight="1">
      <c r="A303" s="39" t="s">
        <v>39</v>
      </c>
      <c r="B303" s="40"/>
      <c r="C303" s="42">
        <v>6500.0</v>
      </c>
      <c r="D303" s="40">
        <v>1.0</v>
      </c>
      <c r="E303" s="67">
        <v>0.0</v>
      </c>
      <c r="F303" s="171">
        <f t="shared" si="50"/>
        <v>6500</v>
      </c>
      <c r="G303" s="74"/>
      <c r="H303" s="70"/>
      <c r="I303" s="38"/>
      <c r="J303" s="38"/>
    </row>
    <row r="304" ht="14.25" customHeight="1">
      <c r="A304" s="43" t="s">
        <v>51</v>
      </c>
      <c r="B304" s="172"/>
      <c r="C304" s="173"/>
      <c r="D304" s="172"/>
      <c r="E304" s="172"/>
      <c r="F304" s="170">
        <f>SUM(F302:F303)</f>
        <v>51500</v>
      </c>
      <c r="G304" s="79"/>
      <c r="H304" s="81">
        <v>185000.0</v>
      </c>
      <c r="I304" s="110">
        <f>F304/H304</f>
        <v>0.2783783784</v>
      </c>
      <c r="J304" s="54"/>
    </row>
    <row r="305" ht="14.25" customHeight="1">
      <c r="A305" s="57" t="s">
        <v>401</v>
      </c>
      <c r="B305" s="3"/>
      <c r="C305" s="3"/>
      <c r="D305" s="3"/>
      <c r="E305" s="3"/>
      <c r="F305" s="3"/>
      <c r="G305" s="58"/>
      <c r="H305" s="59"/>
      <c r="I305" s="63"/>
      <c r="J305" s="63"/>
    </row>
    <row r="306" ht="14.25" customHeight="1">
      <c r="A306" s="22" t="s">
        <v>63</v>
      </c>
      <c r="B306" s="23" t="s">
        <v>290</v>
      </c>
      <c r="C306" s="24">
        <v>6000.0</v>
      </c>
      <c r="D306" s="25">
        <v>1.0</v>
      </c>
      <c r="E306" s="67">
        <v>0.0</v>
      </c>
      <c r="F306" s="34">
        <f t="shared" ref="F306:F309" si="51">C306*D306+C306*D306*E306</f>
        <v>6000</v>
      </c>
      <c r="G306" s="74"/>
      <c r="H306" s="70"/>
      <c r="I306" s="38"/>
      <c r="J306" s="38"/>
    </row>
    <row r="307" ht="14.25" customHeight="1">
      <c r="A307" s="22" t="s">
        <v>288</v>
      </c>
      <c r="B307" s="23" t="s">
        <v>23</v>
      </c>
      <c r="C307" s="24">
        <v>19000.0</v>
      </c>
      <c r="D307" s="25">
        <v>0.2</v>
      </c>
      <c r="E307" s="67">
        <v>0.0</v>
      </c>
      <c r="F307" s="34">
        <f t="shared" si="51"/>
        <v>3800</v>
      </c>
      <c r="G307" s="74"/>
      <c r="H307" s="70"/>
      <c r="I307" s="38"/>
      <c r="J307" s="38"/>
    </row>
    <row r="308" ht="14.25" customHeight="1">
      <c r="A308" s="22" t="s">
        <v>48</v>
      </c>
      <c r="B308" s="23" t="s">
        <v>23</v>
      </c>
      <c r="C308" s="24">
        <v>115000.0</v>
      </c>
      <c r="D308" s="25">
        <v>0.7</v>
      </c>
      <c r="E308" s="67">
        <v>0.0</v>
      </c>
      <c r="F308" s="34">
        <f t="shared" si="51"/>
        <v>80500</v>
      </c>
      <c r="G308" s="74"/>
      <c r="H308" s="70"/>
      <c r="I308" s="38"/>
      <c r="J308" s="38"/>
    </row>
    <row r="309" ht="14.25" customHeight="1">
      <c r="A309" s="39" t="s">
        <v>39</v>
      </c>
      <c r="B309" s="40"/>
      <c r="C309" s="42">
        <v>6500.0</v>
      </c>
      <c r="D309" s="40">
        <v>1.0</v>
      </c>
      <c r="E309" s="67">
        <v>0.0</v>
      </c>
      <c r="F309" s="34">
        <f t="shared" si="51"/>
        <v>6500</v>
      </c>
      <c r="G309" s="74"/>
      <c r="H309" s="70"/>
      <c r="I309" s="38"/>
      <c r="J309" s="38"/>
    </row>
    <row r="310" ht="14.25" customHeight="1">
      <c r="A310" s="43" t="s">
        <v>51</v>
      </c>
      <c r="B310" s="44"/>
      <c r="C310" s="46"/>
      <c r="D310" s="44"/>
      <c r="E310" s="44"/>
      <c r="F310" s="48">
        <f>SUM(F306:F309)</f>
        <v>96800</v>
      </c>
      <c r="G310" s="79"/>
      <c r="H310" s="81">
        <v>275000.0</v>
      </c>
      <c r="I310" s="110">
        <f>F310/H310</f>
        <v>0.352</v>
      </c>
      <c r="J310" s="54"/>
    </row>
    <row r="311" ht="14.25" customHeight="1">
      <c r="A311" s="57" t="s">
        <v>402</v>
      </c>
      <c r="B311" s="3"/>
      <c r="C311" s="3"/>
      <c r="D311" s="3"/>
      <c r="E311" s="3"/>
      <c r="F311" s="3"/>
      <c r="G311" s="58"/>
      <c r="H311" s="205"/>
      <c r="I311" s="63"/>
      <c r="J311" s="63"/>
    </row>
    <row r="312" ht="14.25" customHeight="1">
      <c r="A312" s="206" t="s">
        <v>403</v>
      </c>
      <c r="B312" s="139" t="s">
        <v>23</v>
      </c>
      <c r="C312" s="141">
        <v>78000.0</v>
      </c>
      <c r="D312" s="139">
        <v>0.5</v>
      </c>
      <c r="E312" s="142">
        <v>0.0</v>
      </c>
      <c r="F312" s="143">
        <f t="shared" ref="F312:F314" si="52">C312*D312+C312*D312*E312</f>
        <v>39000</v>
      </c>
      <c r="G312" s="74"/>
      <c r="H312" s="207"/>
      <c r="I312" s="38"/>
      <c r="J312" s="38"/>
    </row>
    <row r="313" ht="14.25" customHeight="1">
      <c r="A313" s="39" t="s">
        <v>404</v>
      </c>
      <c r="B313" s="40" t="s">
        <v>23</v>
      </c>
      <c r="C313" s="42">
        <v>20000.0</v>
      </c>
      <c r="D313" s="40">
        <v>0.1</v>
      </c>
      <c r="E313" s="167">
        <v>0.0</v>
      </c>
      <c r="F313" s="34">
        <f t="shared" si="52"/>
        <v>2000</v>
      </c>
      <c r="G313" s="74"/>
      <c r="H313" s="207"/>
      <c r="I313" s="38"/>
      <c r="J313" s="38"/>
    </row>
    <row r="314" ht="14.25" customHeight="1">
      <c r="A314" s="39" t="s">
        <v>39</v>
      </c>
      <c r="B314" s="40"/>
      <c r="C314" s="42">
        <v>6500.0</v>
      </c>
      <c r="D314" s="40">
        <v>1.0</v>
      </c>
      <c r="E314" s="167">
        <v>0.0</v>
      </c>
      <c r="F314" s="143">
        <f t="shared" si="52"/>
        <v>6500</v>
      </c>
      <c r="G314" s="74"/>
      <c r="H314" s="207"/>
      <c r="I314" s="38"/>
      <c r="J314" s="38"/>
    </row>
    <row r="315" ht="14.25" customHeight="1">
      <c r="A315" s="43" t="s">
        <v>51</v>
      </c>
      <c r="B315" s="169"/>
      <c r="C315" s="170"/>
      <c r="D315" s="169"/>
      <c r="E315" s="169"/>
      <c r="F315" s="170">
        <f>SUM(F312:F314)</f>
        <v>47500</v>
      </c>
      <c r="G315" s="79"/>
      <c r="H315" s="81">
        <v>165000.0</v>
      </c>
      <c r="I315" s="110">
        <f>F315/H315</f>
        <v>0.2878787879</v>
      </c>
      <c r="J315" s="54"/>
    </row>
    <row r="316" ht="14.25" customHeight="1">
      <c r="A316" s="57" t="s">
        <v>405</v>
      </c>
      <c r="B316" s="3"/>
      <c r="C316" s="3"/>
      <c r="D316" s="3"/>
      <c r="E316" s="3"/>
      <c r="F316" s="3"/>
      <c r="G316" s="58"/>
      <c r="H316" s="59"/>
      <c r="I316" s="63"/>
      <c r="J316" s="63"/>
    </row>
    <row r="317" ht="14.25" customHeight="1">
      <c r="A317" s="39" t="s">
        <v>406</v>
      </c>
      <c r="B317" s="139" t="s">
        <v>8</v>
      </c>
      <c r="C317" s="141">
        <v>78000.0</v>
      </c>
      <c r="D317" s="139">
        <v>0.5</v>
      </c>
      <c r="E317" s="167">
        <v>0.0</v>
      </c>
      <c r="F317" s="143">
        <f t="shared" ref="F317:F318" si="53">C317*D317+C317*D317*E317</f>
        <v>39000</v>
      </c>
      <c r="G317" s="74"/>
      <c r="H317" s="70"/>
      <c r="I317" s="38"/>
      <c r="J317" s="38"/>
    </row>
    <row r="318" ht="14.25" customHeight="1">
      <c r="A318" s="39" t="s">
        <v>39</v>
      </c>
      <c r="B318" s="40"/>
      <c r="C318" s="42">
        <v>6500.0</v>
      </c>
      <c r="D318" s="40">
        <v>1.0</v>
      </c>
      <c r="E318" s="167">
        <v>0.0</v>
      </c>
      <c r="F318" s="143">
        <f t="shared" si="53"/>
        <v>6500</v>
      </c>
      <c r="G318" s="74"/>
      <c r="H318" s="70"/>
      <c r="I318" s="38"/>
      <c r="J318" s="38"/>
    </row>
    <row r="319" ht="14.25" customHeight="1">
      <c r="A319" s="208" t="s">
        <v>51</v>
      </c>
      <c r="B319" s="44"/>
      <c r="C319" s="46"/>
      <c r="D319" s="44"/>
      <c r="E319" s="44"/>
      <c r="F319" s="48">
        <f>SUM(F317:F318)</f>
        <v>45500</v>
      </c>
      <c r="G319" s="79"/>
      <c r="H319" s="81">
        <v>165000.0</v>
      </c>
      <c r="I319" s="110">
        <f>F319/H319</f>
        <v>0.2757575758</v>
      </c>
      <c r="J319" s="54"/>
    </row>
    <row r="320" ht="14.25" customHeight="1">
      <c r="A320" s="57" t="s">
        <v>407</v>
      </c>
      <c r="B320" s="3"/>
      <c r="C320" s="3"/>
      <c r="D320" s="3"/>
      <c r="E320" s="3"/>
      <c r="F320" s="3"/>
      <c r="G320" s="58"/>
      <c r="H320" s="59"/>
      <c r="I320" s="63"/>
      <c r="J320" s="63"/>
    </row>
    <row r="321" ht="14.25" customHeight="1">
      <c r="A321" s="22" t="s">
        <v>57</v>
      </c>
      <c r="B321" s="23" t="s">
        <v>23</v>
      </c>
      <c r="C321" s="24">
        <v>185000.0</v>
      </c>
      <c r="D321" s="25">
        <v>0.25</v>
      </c>
      <c r="E321" s="67">
        <v>0.0</v>
      </c>
      <c r="F321" s="34">
        <f t="shared" ref="F321:F322" si="54">C321*D321+C321*D321*E321</f>
        <v>46250</v>
      </c>
      <c r="G321" s="74"/>
      <c r="H321" s="70"/>
      <c r="I321" s="38"/>
      <c r="J321" s="38"/>
    </row>
    <row r="322" ht="14.25" customHeight="1">
      <c r="A322" s="39" t="s">
        <v>39</v>
      </c>
      <c r="B322" s="40"/>
      <c r="C322" s="42">
        <v>6500.0</v>
      </c>
      <c r="D322" s="40">
        <v>1.0</v>
      </c>
      <c r="E322" s="67">
        <v>0.0</v>
      </c>
      <c r="F322" s="34">
        <f t="shared" si="54"/>
        <v>6500</v>
      </c>
      <c r="G322" s="74"/>
      <c r="H322" s="70"/>
      <c r="I322" s="38"/>
      <c r="J322" s="38"/>
    </row>
    <row r="323" ht="14.25" customHeight="1">
      <c r="A323" s="43" t="s">
        <v>51</v>
      </c>
      <c r="B323" s="44"/>
      <c r="C323" s="46"/>
      <c r="D323" s="44"/>
      <c r="E323" s="44"/>
      <c r="F323" s="48">
        <f>SUM(F321:F322)</f>
        <v>52750</v>
      </c>
      <c r="G323" s="79"/>
      <c r="H323" s="81">
        <v>185000.0</v>
      </c>
      <c r="I323" s="110">
        <f>F323/H323</f>
        <v>0.2851351351</v>
      </c>
      <c r="J323" s="54"/>
    </row>
    <row r="324" ht="14.25" customHeight="1">
      <c r="A324" s="57" t="s">
        <v>236</v>
      </c>
      <c r="B324" s="3"/>
      <c r="C324" s="3"/>
      <c r="D324" s="3"/>
      <c r="E324" s="3"/>
      <c r="F324" s="3"/>
      <c r="G324" s="58"/>
      <c r="H324" s="59"/>
      <c r="I324" s="63"/>
      <c r="J324" s="63"/>
    </row>
    <row r="325" ht="14.25" customHeight="1">
      <c r="A325" s="22" t="s">
        <v>238</v>
      </c>
      <c r="B325" s="23" t="s">
        <v>8</v>
      </c>
      <c r="C325" s="24">
        <v>55000.0</v>
      </c>
      <c r="D325" s="25">
        <v>0.5</v>
      </c>
      <c r="E325" s="67">
        <v>0.0</v>
      </c>
      <c r="F325" s="34">
        <f t="shared" ref="F325:F327" si="55">C325*D325+C325*D325*E325</f>
        <v>27500</v>
      </c>
      <c r="G325" s="74"/>
      <c r="H325" s="70"/>
      <c r="I325" s="38"/>
      <c r="J325" s="38"/>
    </row>
    <row r="326" ht="14.25" customHeight="1">
      <c r="A326" s="22" t="s">
        <v>243</v>
      </c>
      <c r="B326" s="23" t="s">
        <v>8</v>
      </c>
      <c r="C326" s="24">
        <v>21000.0</v>
      </c>
      <c r="D326" s="25">
        <v>0.2</v>
      </c>
      <c r="E326" s="67">
        <v>0.0</v>
      </c>
      <c r="F326" s="34">
        <f t="shared" si="55"/>
        <v>4200</v>
      </c>
      <c r="G326" s="74"/>
      <c r="H326" s="70"/>
      <c r="I326" s="38"/>
      <c r="J326" s="38"/>
    </row>
    <row r="327" ht="14.25" customHeight="1">
      <c r="A327" s="39" t="s">
        <v>39</v>
      </c>
      <c r="B327" s="40"/>
      <c r="C327" s="42">
        <v>6500.0</v>
      </c>
      <c r="D327" s="40">
        <v>1.0</v>
      </c>
      <c r="E327" s="67">
        <v>0.0</v>
      </c>
      <c r="F327" s="34">
        <f t="shared" si="55"/>
        <v>6500</v>
      </c>
      <c r="G327" s="74"/>
      <c r="H327" s="70"/>
      <c r="I327" s="38"/>
      <c r="J327" s="38"/>
    </row>
    <row r="328" ht="14.25" customHeight="1">
      <c r="A328" s="43" t="s">
        <v>51</v>
      </c>
      <c r="B328" s="44"/>
      <c r="C328" s="46"/>
      <c r="D328" s="44"/>
      <c r="E328" s="44"/>
      <c r="F328" s="48">
        <f>SUM(F325:F327)</f>
        <v>38200</v>
      </c>
      <c r="G328" s="79"/>
      <c r="H328" s="81">
        <v>165000.0</v>
      </c>
      <c r="I328" s="110">
        <f>F328/H328</f>
        <v>0.2315151515</v>
      </c>
      <c r="J328" s="54"/>
    </row>
    <row r="329" ht="14.25" customHeight="1">
      <c r="A329" s="57" t="s">
        <v>287</v>
      </c>
      <c r="B329" s="3"/>
      <c r="C329" s="3"/>
      <c r="D329" s="3"/>
      <c r="E329" s="3"/>
      <c r="F329" s="3"/>
      <c r="G329" s="58"/>
      <c r="H329" s="59"/>
      <c r="I329" s="63"/>
      <c r="J329" s="63"/>
    </row>
    <row r="330" ht="14.25" customHeight="1">
      <c r="A330" s="22" t="s">
        <v>289</v>
      </c>
      <c r="B330" s="23" t="s">
        <v>290</v>
      </c>
      <c r="C330" s="24">
        <v>6000.0</v>
      </c>
      <c r="D330" s="23">
        <v>1.0</v>
      </c>
      <c r="E330" s="40">
        <v>0.0</v>
      </c>
      <c r="F330" s="34">
        <f t="shared" ref="F330:F334" si="56">C330*D330+C330*D330*E330</f>
        <v>6000</v>
      </c>
      <c r="G330" s="74"/>
      <c r="H330" s="70"/>
      <c r="I330" s="38"/>
      <c r="J330" s="38"/>
    </row>
    <row r="331" ht="14.25" customHeight="1">
      <c r="A331" s="22" t="s">
        <v>46</v>
      </c>
      <c r="B331" s="23" t="s">
        <v>23</v>
      </c>
      <c r="C331" s="24">
        <v>120000.0</v>
      </c>
      <c r="D331" s="23">
        <v>0.25</v>
      </c>
      <c r="E331" s="40">
        <v>0.0</v>
      </c>
      <c r="F331" s="34">
        <f t="shared" si="56"/>
        <v>30000</v>
      </c>
      <c r="G331" s="74"/>
      <c r="H331" s="70"/>
      <c r="I331" s="38"/>
      <c r="J331" s="38"/>
    </row>
    <row r="332" ht="14.25" customHeight="1">
      <c r="A332" s="22" t="s">
        <v>291</v>
      </c>
      <c r="B332" s="23" t="s">
        <v>64</v>
      </c>
      <c r="C332" s="24">
        <v>6000.0</v>
      </c>
      <c r="D332" s="23">
        <v>1.0</v>
      </c>
      <c r="E332" s="40">
        <v>0.0</v>
      </c>
      <c r="F332" s="34">
        <f t="shared" si="56"/>
        <v>6000</v>
      </c>
      <c r="G332" s="74"/>
      <c r="H332" s="70"/>
      <c r="I332" s="38"/>
      <c r="J332" s="38"/>
    </row>
    <row r="333" ht="14.25" customHeight="1">
      <c r="A333" s="22" t="s">
        <v>288</v>
      </c>
      <c r="B333" s="23" t="s">
        <v>23</v>
      </c>
      <c r="C333" s="24">
        <v>21000.0</v>
      </c>
      <c r="D333" s="23">
        <v>0.3</v>
      </c>
      <c r="E333" s="40">
        <v>0.0</v>
      </c>
      <c r="F333" s="34">
        <f t="shared" si="56"/>
        <v>6300</v>
      </c>
      <c r="G333" s="74"/>
      <c r="H333" s="70"/>
      <c r="I333" s="38"/>
      <c r="J333" s="38"/>
    </row>
    <row r="334" ht="14.25" customHeight="1">
      <c r="A334" s="39" t="s">
        <v>39</v>
      </c>
      <c r="B334" s="40"/>
      <c r="C334" s="42">
        <v>6500.0</v>
      </c>
      <c r="D334" s="40">
        <v>1.0</v>
      </c>
      <c r="E334" s="40">
        <v>0.0</v>
      </c>
      <c r="F334" s="34">
        <f t="shared" si="56"/>
        <v>6500</v>
      </c>
      <c r="G334" s="74"/>
      <c r="H334" s="70"/>
      <c r="I334" s="38"/>
      <c r="J334" s="38"/>
    </row>
    <row r="335" ht="14.25" customHeight="1">
      <c r="A335" s="43" t="s">
        <v>51</v>
      </c>
      <c r="B335" s="44"/>
      <c r="C335" s="46"/>
      <c r="D335" s="44"/>
      <c r="E335" s="44"/>
      <c r="F335" s="48">
        <f>SUM(F330:F334)</f>
        <v>54800</v>
      </c>
      <c r="G335" s="79"/>
      <c r="H335" s="81">
        <v>195000.0</v>
      </c>
      <c r="I335" s="110">
        <f>F335/H335</f>
        <v>0.281025641</v>
      </c>
      <c r="J335" s="54"/>
    </row>
    <row r="336" ht="14.25" customHeight="1">
      <c r="A336" s="57" t="s">
        <v>408</v>
      </c>
      <c r="B336" s="3"/>
      <c r="C336" s="3"/>
      <c r="D336" s="3"/>
      <c r="E336" s="3"/>
      <c r="F336" s="3"/>
      <c r="G336" s="58"/>
      <c r="H336" s="59"/>
      <c r="I336" s="63"/>
      <c r="J336" s="63"/>
    </row>
    <row r="337" ht="14.25" customHeight="1">
      <c r="A337" s="22" t="s">
        <v>63</v>
      </c>
      <c r="B337" s="23" t="s">
        <v>290</v>
      </c>
      <c r="C337" s="24">
        <v>6000.0</v>
      </c>
      <c r="D337" s="25">
        <v>1.0</v>
      </c>
      <c r="E337" s="67">
        <v>0.0</v>
      </c>
      <c r="F337" s="34">
        <f t="shared" ref="F337:F340" si="57">C337*D337+C337*D337*E337</f>
        <v>6000</v>
      </c>
      <c r="G337" s="74"/>
      <c r="H337" s="70"/>
      <c r="I337" s="38"/>
      <c r="J337" s="38"/>
    </row>
    <row r="338" ht="14.25" customHeight="1">
      <c r="A338" s="22" t="s">
        <v>288</v>
      </c>
      <c r="B338" s="23" t="s">
        <v>23</v>
      </c>
      <c r="C338" s="24">
        <v>21000.0</v>
      </c>
      <c r="D338" s="25">
        <v>0.2</v>
      </c>
      <c r="E338" s="67">
        <v>0.0</v>
      </c>
      <c r="F338" s="34">
        <f t="shared" si="57"/>
        <v>4200</v>
      </c>
      <c r="G338" s="74"/>
      <c r="H338" s="70"/>
      <c r="I338" s="38"/>
      <c r="J338" s="38"/>
    </row>
    <row r="339" ht="14.25" customHeight="1">
      <c r="A339" s="22" t="s">
        <v>409</v>
      </c>
      <c r="B339" s="23" t="s">
        <v>23</v>
      </c>
      <c r="C339" s="24">
        <v>155000.0</v>
      </c>
      <c r="D339" s="25">
        <v>0.4</v>
      </c>
      <c r="E339" s="67">
        <v>0.0</v>
      </c>
      <c r="F339" s="34">
        <f t="shared" si="57"/>
        <v>62000</v>
      </c>
      <c r="G339" s="74"/>
      <c r="H339" s="70"/>
      <c r="I339" s="38"/>
      <c r="J339" s="38"/>
    </row>
    <row r="340" ht="14.25" customHeight="1">
      <c r="A340" s="39" t="s">
        <v>39</v>
      </c>
      <c r="B340" s="40"/>
      <c r="C340" s="42">
        <v>6500.0</v>
      </c>
      <c r="D340" s="40">
        <v>1.0</v>
      </c>
      <c r="E340" s="67">
        <v>0.0</v>
      </c>
      <c r="F340" s="34">
        <f t="shared" si="57"/>
        <v>6500</v>
      </c>
      <c r="G340" s="74"/>
      <c r="H340" s="70"/>
      <c r="I340" s="38"/>
      <c r="J340" s="38"/>
    </row>
    <row r="341" ht="14.25" customHeight="1">
      <c r="A341" s="43" t="s">
        <v>51</v>
      </c>
      <c r="B341" s="44"/>
      <c r="C341" s="46"/>
      <c r="D341" s="44"/>
      <c r="E341" s="44"/>
      <c r="F341" s="48">
        <f>SUM(F337:F340)</f>
        <v>78700</v>
      </c>
      <c r="G341" s="79"/>
      <c r="H341" s="81">
        <v>255000.0</v>
      </c>
      <c r="I341" s="110">
        <f>F341/H341</f>
        <v>0.308627451</v>
      </c>
      <c r="J341" s="54"/>
    </row>
    <row r="342" ht="14.25" customHeight="1">
      <c r="A342" s="57" t="s">
        <v>410</v>
      </c>
      <c r="B342" s="3"/>
      <c r="C342" s="3"/>
      <c r="D342" s="3"/>
      <c r="E342" s="3"/>
      <c r="F342" s="3"/>
      <c r="G342" s="58"/>
      <c r="H342" s="59"/>
      <c r="I342" s="63"/>
      <c r="J342" s="63"/>
    </row>
    <row r="343" ht="14.25" customHeight="1">
      <c r="A343" s="39" t="s">
        <v>411</v>
      </c>
      <c r="B343" s="139" t="s">
        <v>8</v>
      </c>
      <c r="C343" s="141">
        <v>155000.0</v>
      </c>
      <c r="D343" s="139">
        <v>0.5</v>
      </c>
      <c r="E343" s="142">
        <v>0.0</v>
      </c>
      <c r="F343" s="143">
        <f t="shared" ref="F343:F344" si="58">C343*D343+C343*D343*E343</f>
        <v>77500</v>
      </c>
      <c r="G343" s="74"/>
      <c r="H343" s="70"/>
      <c r="I343" s="38"/>
      <c r="J343" s="38"/>
    </row>
    <row r="344" ht="14.25" customHeight="1">
      <c r="A344" s="39" t="s">
        <v>39</v>
      </c>
      <c r="B344" s="139"/>
      <c r="C344" s="141">
        <v>6500.0</v>
      </c>
      <c r="D344" s="139">
        <v>1.0</v>
      </c>
      <c r="E344" s="142">
        <v>0.0</v>
      </c>
      <c r="F344" s="143">
        <f t="shared" si="58"/>
        <v>6500</v>
      </c>
      <c r="G344" s="74"/>
      <c r="H344" s="70"/>
      <c r="I344" s="38"/>
      <c r="J344" s="38"/>
    </row>
    <row r="345" ht="14.25" customHeight="1">
      <c r="A345" s="43" t="s">
        <v>51</v>
      </c>
      <c r="B345" s="169"/>
      <c r="C345" s="170"/>
      <c r="D345" s="169"/>
      <c r="E345" s="169"/>
      <c r="F345" s="170">
        <f>SUM(F343:F344)</f>
        <v>84000</v>
      </c>
      <c r="G345" s="79"/>
      <c r="H345" s="81">
        <v>255000.0</v>
      </c>
      <c r="I345" s="110">
        <f>F345/H345</f>
        <v>0.3294117647</v>
      </c>
      <c r="J345" s="54"/>
    </row>
    <row r="346" ht="14.25" customHeight="1">
      <c r="A346" s="57" t="s">
        <v>412</v>
      </c>
      <c r="B346" s="3"/>
      <c r="C346" s="3"/>
      <c r="D346" s="3"/>
      <c r="E346" s="3"/>
      <c r="F346" s="3"/>
      <c r="G346" s="58"/>
      <c r="H346" s="59"/>
      <c r="I346" s="63"/>
      <c r="J346" s="63"/>
    </row>
    <row r="347" ht="14.25" customHeight="1">
      <c r="A347" s="91" t="s">
        <v>379</v>
      </c>
      <c r="B347" s="92" t="s">
        <v>8</v>
      </c>
      <c r="C347" s="24">
        <v>155000.0</v>
      </c>
      <c r="D347" s="92">
        <v>0.5</v>
      </c>
      <c r="E347" s="67">
        <v>0.0</v>
      </c>
      <c r="F347" s="171">
        <f t="shared" ref="F347:F348" si="59">C347*D347+C347*D347*E347</f>
        <v>77500</v>
      </c>
      <c r="G347" s="74"/>
      <c r="H347" s="70"/>
      <c r="I347" s="38"/>
      <c r="J347" s="38"/>
    </row>
    <row r="348" ht="14.25" customHeight="1">
      <c r="A348" s="39" t="s">
        <v>39</v>
      </c>
      <c r="B348" s="40"/>
      <c r="C348" s="42">
        <v>6500.0</v>
      </c>
      <c r="D348" s="40">
        <v>1.0</v>
      </c>
      <c r="E348" s="67">
        <v>0.0</v>
      </c>
      <c r="F348" s="171">
        <f t="shared" si="59"/>
        <v>6500</v>
      </c>
      <c r="G348" s="74"/>
      <c r="H348" s="70"/>
      <c r="I348" s="38"/>
      <c r="J348" s="38"/>
    </row>
    <row r="349" ht="14.25" customHeight="1">
      <c r="A349" s="43" t="s">
        <v>51</v>
      </c>
      <c r="B349" s="172"/>
      <c r="C349" s="173"/>
      <c r="D349" s="172"/>
      <c r="E349" s="172"/>
      <c r="F349" s="170">
        <f>SUM(F347:F348)</f>
        <v>84000</v>
      </c>
      <c r="G349" s="79"/>
      <c r="H349" s="81">
        <v>255000.0</v>
      </c>
      <c r="I349" s="110">
        <f>F349/H349</f>
        <v>0.3294117647</v>
      </c>
      <c r="J349" s="54"/>
    </row>
    <row r="350" ht="14.25" customHeight="1">
      <c r="A350" s="57" t="s">
        <v>218</v>
      </c>
      <c r="B350" s="3"/>
      <c r="C350" s="3"/>
      <c r="D350" s="3"/>
      <c r="E350" s="3"/>
      <c r="F350" s="3"/>
      <c r="G350" s="58"/>
      <c r="H350" s="59"/>
      <c r="I350" s="63"/>
      <c r="J350" s="63"/>
    </row>
    <row r="351" ht="14.25" customHeight="1">
      <c r="A351" s="22" t="s">
        <v>229</v>
      </c>
      <c r="B351" s="23" t="s">
        <v>23</v>
      </c>
      <c r="C351" s="24">
        <v>230000.0</v>
      </c>
      <c r="D351" s="25">
        <v>0.2</v>
      </c>
      <c r="E351" s="67">
        <v>0.0</v>
      </c>
      <c r="F351" s="34">
        <f t="shared" ref="F351:F352" si="60">C351*D351+C351*D351*E351</f>
        <v>46000</v>
      </c>
      <c r="G351" s="74"/>
      <c r="H351" s="70"/>
      <c r="I351" s="38"/>
      <c r="J351" s="38"/>
    </row>
    <row r="352" ht="14.25" customHeight="1">
      <c r="A352" s="39" t="s">
        <v>39</v>
      </c>
      <c r="B352" s="40"/>
      <c r="C352" s="42">
        <v>6500.0</v>
      </c>
      <c r="D352" s="40">
        <v>1.0</v>
      </c>
      <c r="E352" s="67">
        <v>0.0</v>
      </c>
      <c r="F352" s="34">
        <f t="shared" si="60"/>
        <v>6500</v>
      </c>
      <c r="G352" s="74"/>
      <c r="H352" s="70"/>
      <c r="I352" s="38"/>
      <c r="J352" s="38"/>
    </row>
    <row r="353" ht="14.25" customHeight="1">
      <c r="A353" s="43" t="s">
        <v>51</v>
      </c>
      <c r="B353" s="44"/>
      <c r="C353" s="46"/>
      <c r="D353" s="44"/>
      <c r="E353" s="44"/>
      <c r="F353" s="48">
        <f>SUM(F351:F352)</f>
        <v>52500</v>
      </c>
      <c r="G353" s="79"/>
      <c r="H353" s="81">
        <v>185000.0</v>
      </c>
      <c r="I353" s="110">
        <f>F353/H353</f>
        <v>0.2837837838</v>
      </c>
      <c r="J353" s="54"/>
    </row>
    <row r="354" ht="14.25" customHeight="1">
      <c r="A354" s="57" t="s">
        <v>317</v>
      </c>
      <c r="B354" s="3"/>
      <c r="C354" s="3"/>
      <c r="D354" s="3"/>
      <c r="E354" s="3"/>
      <c r="F354" s="3"/>
      <c r="G354" s="58"/>
      <c r="H354" s="59"/>
      <c r="I354" s="63"/>
      <c r="J354" s="63"/>
    </row>
    <row r="355" ht="14.25" customHeight="1">
      <c r="A355" s="22" t="s">
        <v>83</v>
      </c>
      <c r="B355" s="23" t="s">
        <v>318</v>
      </c>
      <c r="C355" s="24">
        <v>120000.0</v>
      </c>
      <c r="D355" s="25">
        <v>1.0</v>
      </c>
      <c r="E355" s="67">
        <v>0.0</v>
      </c>
      <c r="F355" s="34">
        <f t="shared" ref="F355:F358" si="61">C355*D355+C355*D355*E355</f>
        <v>120000</v>
      </c>
      <c r="G355" s="74"/>
      <c r="H355" s="70"/>
      <c r="I355" s="38"/>
      <c r="J355" s="38"/>
    </row>
    <row r="356" ht="14.25" customHeight="1">
      <c r="A356" s="22" t="s">
        <v>288</v>
      </c>
      <c r="B356" s="23" t="s">
        <v>23</v>
      </c>
      <c r="C356" s="24">
        <v>21000.0</v>
      </c>
      <c r="D356" s="25">
        <v>0.3</v>
      </c>
      <c r="E356" s="67">
        <v>0.0</v>
      </c>
      <c r="F356" s="34">
        <f t="shared" si="61"/>
        <v>6300</v>
      </c>
      <c r="G356" s="74"/>
      <c r="H356" s="70"/>
      <c r="I356" s="38"/>
      <c r="J356" s="38"/>
    </row>
    <row r="357" ht="14.25" customHeight="1">
      <c r="A357" s="22" t="s">
        <v>319</v>
      </c>
      <c r="B357" s="23" t="s">
        <v>290</v>
      </c>
      <c r="C357" s="24">
        <v>6000.0</v>
      </c>
      <c r="D357" s="25">
        <v>1.0</v>
      </c>
      <c r="E357" s="67">
        <v>0.0</v>
      </c>
      <c r="F357" s="34">
        <f t="shared" si="61"/>
        <v>6000</v>
      </c>
      <c r="G357" s="74"/>
      <c r="H357" s="70"/>
      <c r="I357" s="38"/>
      <c r="J357" s="38"/>
    </row>
    <row r="358" ht="14.25" customHeight="1">
      <c r="A358" s="39" t="s">
        <v>39</v>
      </c>
      <c r="B358" s="40"/>
      <c r="C358" s="42">
        <v>6500.0</v>
      </c>
      <c r="D358" s="40">
        <v>1.0</v>
      </c>
      <c r="E358" s="67">
        <v>0.0</v>
      </c>
      <c r="F358" s="34">
        <f t="shared" si="61"/>
        <v>6500</v>
      </c>
      <c r="G358" s="74"/>
      <c r="H358" s="70"/>
      <c r="I358" s="38"/>
      <c r="J358" s="38"/>
    </row>
    <row r="359" ht="14.25" customHeight="1">
      <c r="A359" s="43" t="s">
        <v>51</v>
      </c>
      <c r="B359" s="44"/>
      <c r="C359" s="46"/>
      <c r="D359" s="44"/>
      <c r="E359" s="44"/>
      <c r="F359" s="48">
        <f>SUM(F355:F358)</f>
        <v>138800</v>
      </c>
      <c r="G359" s="79"/>
      <c r="H359" s="81">
        <v>395000.0</v>
      </c>
      <c r="I359" s="110">
        <f>F359/H359</f>
        <v>0.3513924051</v>
      </c>
      <c r="J359" s="54"/>
    </row>
    <row r="360" ht="14.25" customHeight="1">
      <c r="A360" s="57" t="s">
        <v>413</v>
      </c>
      <c r="B360" s="3"/>
      <c r="C360" s="3"/>
      <c r="D360" s="3"/>
      <c r="E360" s="3"/>
      <c r="F360" s="3"/>
      <c r="G360" s="58"/>
      <c r="H360" s="59"/>
      <c r="I360" s="63"/>
      <c r="J360" s="63"/>
    </row>
    <row r="361" ht="14.25" customHeight="1">
      <c r="A361" s="22" t="s">
        <v>48</v>
      </c>
      <c r="B361" s="23" t="s">
        <v>23</v>
      </c>
      <c r="C361" s="24">
        <v>115000.0</v>
      </c>
      <c r="D361" s="25">
        <v>0.7</v>
      </c>
      <c r="E361" s="67">
        <v>0.0</v>
      </c>
      <c r="F361" s="34">
        <f t="shared" ref="F361:F362" si="62">C361*D361+C361*D361*E361</f>
        <v>80500</v>
      </c>
      <c r="G361" s="74"/>
      <c r="H361" s="70"/>
      <c r="I361" s="38"/>
      <c r="J361" s="38"/>
    </row>
    <row r="362" ht="14.25" customHeight="1">
      <c r="A362" s="39" t="s">
        <v>39</v>
      </c>
      <c r="B362" s="40"/>
      <c r="C362" s="42">
        <v>6500.0</v>
      </c>
      <c r="D362" s="40">
        <v>1.0</v>
      </c>
      <c r="E362" s="67">
        <v>0.0</v>
      </c>
      <c r="F362" s="34">
        <f t="shared" si="62"/>
        <v>6500</v>
      </c>
      <c r="G362" s="74"/>
      <c r="H362" s="70"/>
      <c r="I362" s="38"/>
      <c r="J362" s="38"/>
    </row>
    <row r="363" ht="14.25" customHeight="1">
      <c r="A363" s="43" t="s">
        <v>51</v>
      </c>
      <c r="B363" s="44"/>
      <c r="C363" s="46"/>
      <c r="D363" s="44"/>
      <c r="E363" s="44"/>
      <c r="F363" s="48">
        <f>SUM(F361:F362)</f>
        <v>87000</v>
      </c>
      <c r="G363" s="79"/>
      <c r="H363" s="81">
        <v>275000.0</v>
      </c>
      <c r="I363" s="110">
        <f>F363/H363</f>
        <v>0.3163636364</v>
      </c>
      <c r="J363" s="54"/>
    </row>
    <row r="364" ht="14.25" customHeight="1">
      <c r="A364" s="57" t="s">
        <v>414</v>
      </c>
      <c r="B364" s="3"/>
      <c r="C364" s="3"/>
      <c r="D364" s="3"/>
      <c r="E364" s="3"/>
      <c r="F364" s="3"/>
      <c r="G364" s="58"/>
      <c r="H364" s="59"/>
      <c r="I364" s="63"/>
      <c r="J364" s="63"/>
    </row>
    <row r="365" ht="14.25" customHeight="1">
      <c r="A365" s="22" t="s">
        <v>415</v>
      </c>
      <c r="B365" s="23" t="s">
        <v>23</v>
      </c>
      <c r="C365" s="24">
        <v>120000.0</v>
      </c>
      <c r="D365" s="25">
        <v>0.35</v>
      </c>
      <c r="E365" s="67">
        <v>0.0</v>
      </c>
      <c r="F365" s="34">
        <f t="shared" ref="F365:F366" si="63">C365*D365+C365*D365*E365</f>
        <v>42000</v>
      </c>
      <c r="G365" s="74"/>
      <c r="H365" s="70"/>
      <c r="I365" s="38"/>
      <c r="J365" s="38"/>
    </row>
    <row r="366" ht="14.25" customHeight="1">
      <c r="A366" s="39" t="s">
        <v>39</v>
      </c>
      <c r="B366" s="40"/>
      <c r="C366" s="42">
        <v>6500.0</v>
      </c>
      <c r="D366" s="40">
        <v>1.0</v>
      </c>
      <c r="E366" s="67">
        <v>0.0</v>
      </c>
      <c r="F366" s="34">
        <f t="shared" si="63"/>
        <v>6500</v>
      </c>
      <c r="G366" s="74"/>
      <c r="H366" s="70"/>
      <c r="I366" s="38"/>
      <c r="J366" s="38"/>
    </row>
    <row r="367" ht="14.25" customHeight="1">
      <c r="A367" s="43" t="s">
        <v>51</v>
      </c>
      <c r="B367" s="44"/>
      <c r="C367" s="46"/>
      <c r="D367" s="44"/>
      <c r="E367" s="44"/>
      <c r="F367" s="48">
        <f>SUM(F365:F366)</f>
        <v>48500</v>
      </c>
      <c r="G367" s="79"/>
      <c r="H367" s="81">
        <v>185000.0</v>
      </c>
      <c r="I367" s="110">
        <f>F367/H367</f>
        <v>0.2621621622</v>
      </c>
      <c r="J367" s="54"/>
    </row>
    <row r="368" ht="14.25" customHeight="1">
      <c r="A368" s="57" t="s">
        <v>416</v>
      </c>
      <c r="B368" s="3"/>
      <c r="C368" s="3"/>
      <c r="D368" s="3"/>
      <c r="E368" s="3"/>
      <c r="F368" s="3"/>
      <c r="G368" s="58"/>
      <c r="H368" s="59"/>
      <c r="I368" s="63"/>
      <c r="J368" s="63"/>
    </row>
    <row r="369" ht="14.25" customHeight="1">
      <c r="A369" s="22" t="s">
        <v>417</v>
      </c>
      <c r="B369" s="23" t="s">
        <v>23</v>
      </c>
      <c r="C369" s="24">
        <v>140000.0</v>
      </c>
      <c r="D369" s="25">
        <v>0.4</v>
      </c>
      <c r="E369" s="67">
        <v>0.0</v>
      </c>
      <c r="F369" s="34">
        <f t="shared" ref="F369:F370" si="64">C369*D369+C369*D369*E369</f>
        <v>56000</v>
      </c>
      <c r="G369" s="74"/>
      <c r="H369" s="70"/>
      <c r="I369" s="38"/>
      <c r="J369" s="38"/>
    </row>
    <row r="370" ht="14.25" customHeight="1">
      <c r="A370" s="39" t="s">
        <v>39</v>
      </c>
      <c r="B370" s="40"/>
      <c r="C370" s="42">
        <v>6500.0</v>
      </c>
      <c r="D370" s="40">
        <v>1.0</v>
      </c>
      <c r="E370" s="67">
        <v>0.0</v>
      </c>
      <c r="F370" s="34">
        <f t="shared" si="64"/>
        <v>6500</v>
      </c>
      <c r="G370" s="74"/>
      <c r="H370" s="70"/>
      <c r="I370" s="38"/>
      <c r="J370" s="38"/>
    </row>
    <row r="371" ht="14.25" customHeight="1">
      <c r="A371" s="43" t="s">
        <v>51</v>
      </c>
      <c r="B371" s="44"/>
      <c r="C371" s="46"/>
      <c r="D371" s="44"/>
      <c r="E371" s="44"/>
      <c r="F371" s="48">
        <f>SUM(F369:F370)</f>
        <v>62500</v>
      </c>
      <c r="G371" s="79"/>
      <c r="H371" s="81">
        <v>215000.0</v>
      </c>
      <c r="I371" s="110">
        <f>F371/H371</f>
        <v>0.2906976744</v>
      </c>
      <c r="J371" s="54"/>
    </row>
    <row r="372" ht="14.25" customHeight="1">
      <c r="A372" s="57" t="s">
        <v>418</v>
      </c>
      <c r="B372" s="3"/>
      <c r="C372" s="3"/>
      <c r="D372" s="3"/>
      <c r="E372" s="3"/>
      <c r="F372" s="3"/>
      <c r="G372" s="58"/>
      <c r="H372" s="59"/>
      <c r="I372" s="63"/>
      <c r="J372" s="63"/>
    </row>
    <row r="373" ht="14.25" customHeight="1">
      <c r="A373" s="22" t="s">
        <v>418</v>
      </c>
      <c r="B373" s="23" t="s">
        <v>112</v>
      </c>
      <c r="C373" s="24">
        <v>5000.0</v>
      </c>
      <c r="D373" s="25">
        <v>5.0</v>
      </c>
      <c r="E373" s="67">
        <v>0.0</v>
      </c>
      <c r="F373" s="34">
        <f t="shared" ref="F373:F375" si="65">C373*D373+C373*D373*E373</f>
        <v>25000</v>
      </c>
      <c r="G373" s="74"/>
      <c r="H373" s="70"/>
      <c r="I373" s="38"/>
      <c r="J373" s="38"/>
    </row>
    <row r="374" ht="14.25" customHeight="1">
      <c r="A374" s="22" t="s">
        <v>419</v>
      </c>
      <c r="B374" s="23" t="s">
        <v>8</v>
      </c>
      <c r="C374" s="24">
        <v>125000.0</v>
      </c>
      <c r="D374" s="25">
        <v>0.05</v>
      </c>
      <c r="E374" s="67">
        <v>0.0</v>
      </c>
      <c r="F374" s="34">
        <f t="shared" si="65"/>
        <v>6250</v>
      </c>
      <c r="G374" s="74"/>
      <c r="H374" s="70"/>
      <c r="I374" s="38"/>
      <c r="J374" s="38"/>
    </row>
    <row r="375" ht="14.25" customHeight="1">
      <c r="A375" s="39" t="s">
        <v>39</v>
      </c>
      <c r="B375" s="40"/>
      <c r="C375" s="42">
        <v>6500.0</v>
      </c>
      <c r="D375" s="40">
        <v>1.0</v>
      </c>
      <c r="E375" s="67">
        <v>0.0</v>
      </c>
      <c r="F375" s="34">
        <f t="shared" si="65"/>
        <v>6500</v>
      </c>
      <c r="G375" s="74"/>
      <c r="H375" s="70"/>
      <c r="I375" s="38"/>
      <c r="J375" s="38"/>
    </row>
    <row r="376" ht="14.25" customHeight="1">
      <c r="A376" s="43" t="s">
        <v>51</v>
      </c>
      <c r="B376" s="44"/>
      <c r="C376" s="46"/>
      <c r="D376" s="44"/>
      <c r="E376" s="44"/>
      <c r="F376" s="48">
        <f>SUM(F373:F375)</f>
        <v>37750</v>
      </c>
      <c r="G376" s="79"/>
      <c r="H376" s="81">
        <v>105000.0</v>
      </c>
      <c r="I376" s="110">
        <f>F376/H376</f>
        <v>0.3595238095</v>
      </c>
      <c r="J376" s="54"/>
    </row>
    <row r="377" ht="14.25" customHeight="1">
      <c r="A377" s="13" t="s">
        <v>420</v>
      </c>
      <c r="B377" s="3"/>
      <c r="C377" s="3"/>
      <c r="D377" s="3"/>
      <c r="E377" s="3"/>
      <c r="F377" s="3"/>
      <c r="G377" s="3"/>
      <c r="H377" s="3"/>
      <c r="I377" s="3"/>
      <c r="J377" s="14"/>
    </row>
    <row r="378" ht="14.25" customHeight="1">
      <c r="A378" s="57" t="s">
        <v>421</v>
      </c>
      <c r="B378" s="3"/>
      <c r="C378" s="3"/>
      <c r="D378" s="3"/>
      <c r="E378" s="3"/>
      <c r="F378" s="3"/>
      <c r="G378" s="58"/>
      <c r="H378" s="59"/>
      <c r="I378" s="63"/>
      <c r="J378" s="63"/>
    </row>
    <row r="379" ht="14.25" customHeight="1">
      <c r="A379" s="91" t="s">
        <v>422</v>
      </c>
      <c r="B379" s="92" t="s">
        <v>23</v>
      </c>
      <c r="C379" s="24">
        <v>18000.0</v>
      </c>
      <c r="D379" s="92">
        <v>0.2</v>
      </c>
      <c r="E379" s="67">
        <v>0.0</v>
      </c>
      <c r="F379" s="34">
        <f t="shared" ref="F379:F383" si="66">C379*D379+C379*D379*E379</f>
        <v>3600</v>
      </c>
      <c r="G379" s="74"/>
      <c r="H379" s="70"/>
      <c r="I379" s="38"/>
      <c r="J379" s="38"/>
    </row>
    <row r="380" ht="14.25" customHeight="1">
      <c r="A380" s="91" t="s">
        <v>423</v>
      </c>
      <c r="B380" s="92" t="s">
        <v>23</v>
      </c>
      <c r="C380" s="24">
        <v>25000.0</v>
      </c>
      <c r="D380" s="92">
        <v>0.2</v>
      </c>
      <c r="E380" s="67">
        <v>0.0</v>
      </c>
      <c r="F380" s="34">
        <f t="shared" si="66"/>
        <v>5000</v>
      </c>
      <c r="G380" s="74"/>
      <c r="H380" s="70"/>
      <c r="I380" s="38"/>
      <c r="J380" s="38"/>
    </row>
    <row r="381" ht="14.25" customHeight="1">
      <c r="A381" s="91" t="s">
        <v>424</v>
      </c>
      <c r="B381" s="92" t="s">
        <v>23</v>
      </c>
      <c r="C381" s="24">
        <v>30000.0</v>
      </c>
      <c r="D381" s="92">
        <v>0.2</v>
      </c>
      <c r="E381" s="67">
        <v>0.0</v>
      </c>
      <c r="F381" s="34">
        <f t="shared" si="66"/>
        <v>6000</v>
      </c>
      <c r="G381" s="74"/>
      <c r="H381" s="70"/>
      <c r="I381" s="38"/>
      <c r="J381" s="38"/>
    </row>
    <row r="382" ht="14.25" customHeight="1">
      <c r="A382" s="91" t="s">
        <v>55</v>
      </c>
      <c r="B382" s="92" t="s">
        <v>23</v>
      </c>
      <c r="C382" s="24">
        <v>15000.0</v>
      </c>
      <c r="D382" s="92">
        <v>0.2</v>
      </c>
      <c r="E382" s="67">
        <v>0.0</v>
      </c>
      <c r="F382" s="34">
        <f t="shared" si="66"/>
        <v>3000</v>
      </c>
      <c r="G382" s="74"/>
      <c r="H382" s="70"/>
      <c r="I382" s="38"/>
      <c r="J382" s="38"/>
    </row>
    <row r="383" ht="14.25" customHeight="1">
      <c r="A383" s="39" t="s">
        <v>39</v>
      </c>
      <c r="B383" s="40"/>
      <c r="C383" s="42">
        <v>6500.0</v>
      </c>
      <c r="D383" s="40">
        <v>1.0</v>
      </c>
      <c r="E383" s="67">
        <v>0.0</v>
      </c>
      <c r="F383" s="34">
        <f t="shared" si="66"/>
        <v>6500</v>
      </c>
      <c r="G383" s="74"/>
      <c r="H383" s="70"/>
      <c r="I383" s="38"/>
      <c r="J383" s="38"/>
    </row>
    <row r="384" ht="14.25" customHeight="1">
      <c r="A384" s="43" t="s">
        <v>51</v>
      </c>
      <c r="B384" s="44"/>
      <c r="C384" s="46"/>
      <c r="D384" s="44"/>
      <c r="E384" s="44"/>
      <c r="F384" s="48">
        <f>SUM(F379:F383)</f>
        <v>24100</v>
      </c>
      <c r="G384" s="79"/>
      <c r="H384" s="81">
        <v>95000.0</v>
      </c>
      <c r="I384" s="110">
        <f>F384/H384</f>
        <v>0.2536842105</v>
      </c>
      <c r="J384" s="54"/>
    </row>
    <row r="385" ht="14.25" customHeight="1">
      <c r="A385" s="57" t="s">
        <v>253</v>
      </c>
      <c r="B385" s="3"/>
      <c r="C385" s="3"/>
      <c r="D385" s="3"/>
      <c r="E385" s="3"/>
      <c r="F385" s="3"/>
      <c r="G385" s="58"/>
      <c r="H385" s="59"/>
      <c r="I385" s="63"/>
      <c r="J385" s="63"/>
    </row>
    <row r="386" ht="14.25" customHeight="1">
      <c r="A386" s="91" t="s">
        <v>256</v>
      </c>
      <c r="B386" s="92" t="s">
        <v>23</v>
      </c>
      <c r="C386" s="24">
        <v>32000.0</v>
      </c>
      <c r="D386" s="92">
        <v>0.5</v>
      </c>
      <c r="E386" s="67">
        <v>0.0</v>
      </c>
      <c r="F386" s="34">
        <f t="shared" ref="F386:F387" si="67">C386*D386+C386*D386*E386</f>
        <v>16000</v>
      </c>
      <c r="G386" s="74"/>
      <c r="H386" s="70"/>
      <c r="I386" s="38"/>
      <c r="J386" s="38"/>
    </row>
    <row r="387" ht="14.25" customHeight="1">
      <c r="A387" s="39" t="s">
        <v>39</v>
      </c>
      <c r="B387" s="40"/>
      <c r="C387" s="42">
        <v>6500.0</v>
      </c>
      <c r="D387" s="40">
        <v>1.0</v>
      </c>
      <c r="E387" s="67">
        <v>0.0</v>
      </c>
      <c r="F387" s="34">
        <f t="shared" si="67"/>
        <v>6500</v>
      </c>
      <c r="G387" s="74"/>
      <c r="H387" s="70"/>
      <c r="I387" s="38"/>
      <c r="J387" s="38"/>
    </row>
    <row r="388" ht="14.25" customHeight="1">
      <c r="A388" s="43" t="s">
        <v>51</v>
      </c>
      <c r="B388" s="44"/>
      <c r="C388" s="46"/>
      <c r="D388" s="44"/>
      <c r="E388" s="44"/>
      <c r="F388" s="48">
        <f>SUM(F386:F387)</f>
        <v>22500</v>
      </c>
      <c r="G388" s="79"/>
      <c r="H388" s="81">
        <v>95000.0</v>
      </c>
      <c r="I388" s="110">
        <f>F388/H388</f>
        <v>0.2368421053</v>
      </c>
      <c r="J388" s="54"/>
    </row>
    <row r="389" ht="14.25" customHeight="1">
      <c r="A389" s="57" t="s">
        <v>254</v>
      </c>
      <c r="B389" s="3"/>
      <c r="C389" s="3"/>
      <c r="D389" s="3"/>
      <c r="E389" s="3"/>
      <c r="F389" s="3"/>
      <c r="G389" s="58"/>
      <c r="H389" s="59"/>
      <c r="I389" s="63"/>
      <c r="J389" s="63"/>
    </row>
    <row r="390" ht="14.25" customHeight="1">
      <c r="A390" s="91" t="s">
        <v>259</v>
      </c>
      <c r="B390" s="92" t="s">
        <v>23</v>
      </c>
      <c r="C390" s="24">
        <v>380000.0</v>
      </c>
      <c r="D390" s="92">
        <v>0.01</v>
      </c>
      <c r="E390" s="67">
        <v>0.0</v>
      </c>
      <c r="F390" s="34">
        <f t="shared" ref="F390:F393" si="68">C390*D390+C390*D390*E390</f>
        <v>3800</v>
      </c>
      <c r="G390" s="74"/>
      <c r="H390" s="70"/>
      <c r="I390" s="38"/>
      <c r="J390" s="38"/>
    </row>
    <row r="391" ht="14.25" customHeight="1">
      <c r="A391" s="91" t="s">
        <v>256</v>
      </c>
      <c r="B391" s="92" t="s">
        <v>23</v>
      </c>
      <c r="C391" s="24">
        <v>32000.0</v>
      </c>
      <c r="D391" s="92">
        <v>0.5</v>
      </c>
      <c r="E391" s="67">
        <v>0.0</v>
      </c>
      <c r="F391" s="34">
        <f t="shared" si="68"/>
        <v>16000</v>
      </c>
      <c r="G391" s="74"/>
      <c r="H391" s="70"/>
      <c r="I391" s="38"/>
      <c r="J391" s="38"/>
    </row>
    <row r="392" ht="14.25" customHeight="1">
      <c r="A392" s="91" t="s">
        <v>46</v>
      </c>
      <c r="B392" s="92" t="s">
        <v>23</v>
      </c>
      <c r="C392" s="24">
        <v>12000.0</v>
      </c>
      <c r="D392" s="92">
        <v>0.02</v>
      </c>
      <c r="E392" s="67">
        <v>0.0</v>
      </c>
      <c r="F392" s="34">
        <f t="shared" si="68"/>
        <v>240</v>
      </c>
      <c r="G392" s="74"/>
      <c r="H392" s="70"/>
      <c r="I392" s="38"/>
      <c r="J392" s="38"/>
    </row>
    <row r="393" ht="14.25" customHeight="1">
      <c r="A393" s="39" t="s">
        <v>39</v>
      </c>
      <c r="B393" s="40"/>
      <c r="C393" s="42">
        <v>6500.0</v>
      </c>
      <c r="D393" s="40">
        <v>1.0</v>
      </c>
      <c r="E393" s="67">
        <v>0.0</v>
      </c>
      <c r="F393" s="34">
        <f t="shared" si="68"/>
        <v>6500</v>
      </c>
      <c r="G393" s="74"/>
      <c r="H393" s="70"/>
      <c r="I393" s="38"/>
      <c r="J393" s="38"/>
    </row>
    <row r="394" ht="14.25" customHeight="1">
      <c r="A394" s="43" t="s">
        <v>51</v>
      </c>
      <c r="B394" s="44"/>
      <c r="C394" s="46"/>
      <c r="D394" s="44"/>
      <c r="E394" s="44"/>
      <c r="F394" s="48">
        <f>SUM(F390:F393)</f>
        <v>26540</v>
      </c>
      <c r="G394" s="79"/>
      <c r="H394" s="81">
        <v>105000.0</v>
      </c>
      <c r="I394" s="110">
        <f>F394/H394</f>
        <v>0.2527619048</v>
      </c>
      <c r="J394" s="54"/>
    </row>
    <row r="395" ht="14.25" customHeight="1">
      <c r="A395" s="57" t="s">
        <v>425</v>
      </c>
      <c r="B395" s="3"/>
      <c r="C395" s="3"/>
      <c r="D395" s="3"/>
      <c r="E395" s="3"/>
      <c r="F395" s="3"/>
      <c r="G395" s="58"/>
      <c r="H395" s="59"/>
      <c r="I395" s="63"/>
      <c r="J395" s="63"/>
    </row>
    <row r="396" ht="14.25" customHeight="1">
      <c r="A396" s="91" t="s">
        <v>199</v>
      </c>
      <c r="B396" s="92" t="s">
        <v>336</v>
      </c>
      <c r="C396" s="24">
        <v>7000.0</v>
      </c>
      <c r="D396" s="92">
        <v>1.0</v>
      </c>
      <c r="E396" s="67">
        <v>0.0</v>
      </c>
      <c r="F396" s="34">
        <f t="shared" ref="F396:F397" si="69">C396*D396+C396*D396*E396</f>
        <v>7000</v>
      </c>
      <c r="G396" s="74"/>
      <c r="H396" s="70"/>
      <c r="I396" s="38"/>
      <c r="J396" s="38"/>
    </row>
    <row r="397" ht="14.25" customHeight="1">
      <c r="A397" s="39" t="s">
        <v>39</v>
      </c>
      <c r="B397" s="40"/>
      <c r="C397" s="42">
        <v>6500.0</v>
      </c>
      <c r="D397" s="40">
        <v>1.0</v>
      </c>
      <c r="E397" s="67">
        <v>0.0</v>
      </c>
      <c r="F397" s="34">
        <f t="shared" si="69"/>
        <v>6500</v>
      </c>
      <c r="G397" s="74"/>
      <c r="H397" s="70"/>
      <c r="I397" s="38"/>
      <c r="J397" s="38"/>
    </row>
    <row r="398" ht="14.25" customHeight="1">
      <c r="A398" s="43" t="s">
        <v>51</v>
      </c>
      <c r="B398" s="44"/>
      <c r="C398" s="46"/>
      <c r="D398" s="44"/>
      <c r="E398" s="44"/>
      <c r="F398" s="48">
        <f>SUM(F396:F397)</f>
        <v>13500</v>
      </c>
      <c r="G398" s="79"/>
      <c r="H398" s="81">
        <v>95000.0</v>
      </c>
      <c r="I398" s="110">
        <f>F398/H398</f>
        <v>0.1421052632</v>
      </c>
      <c r="J398" s="54"/>
    </row>
    <row r="399" ht="14.25" customHeight="1">
      <c r="A399" s="57" t="s">
        <v>426</v>
      </c>
      <c r="B399" s="3"/>
      <c r="C399" s="3"/>
      <c r="D399" s="3"/>
      <c r="E399" s="3"/>
      <c r="F399" s="3"/>
      <c r="G399" s="58"/>
      <c r="H399" s="59"/>
      <c r="I399" s="63"/>
      <c r="J399" s="63"/>
    </row>
    <row r="400" ht="14.25" customHeight="1">
      <c r="A400" s="91" t="s">
        <v>427</v>
      </c>
      <c r="B400" s="92" t="s">
        <v>8</v>
      </c>
      <c r="C400" s="24">
        <v>18000.0</v>
      </c>
      <c r="D400" s="92">
        <v>0.5</v>
      </c>
      <c r="E400" s="67">
        <v>0.0</v>
      </c>
      <c r="F400" s="34">
        <f t="shared" ref="F400:F401" si="70">C400*D400+C400*D400*E400</f>
        <v>9000</v>
      </c>
      <c r="G400" s="74"/>
      <c r="H400" s="70"/>
      <c r="I400" s="38"/>
      <c r="J400" s="38"/>
    </row>
    <row r="401" ht="14.25" customHeight="1">
      <c r="A401" s="39" t="s">
        <v>39</v>
      </c>
      <c r="B401" s="40"/>
      <c r="C401" s="42">
        <v>6500.0</v>
      </c>
      <c r="D401" s="40">
        <v>1.0</v>
      </c>
      <c r="E401" s="67">
        <v>0.0</v>
      </c>
      <c r="F401" s="34">
        <f t="shared" si="70"/>
        <v>6500</v>
      </c>
      <c r="G401" s="74"/>
      <c r="H401" s="70"/>
      <c r="I401" s="38"/>
      <c r="J401" s="38"/>
    </row>
    <row r="402" ht="14.25" customHeight="1">
      <c r="A402" s="43" t="s">
        <v>51</v>
      </c>
      <c r="B402" s="44"/>
      <c r="C402" s="46"/>
      <c r="D402" s="44"/>
      <c r="E402" s="44"/>
      <c r="F402" s="48">
        <f>SUM(F400:F401)</f>
        <v>15500</v>
      </c>
      <c r="G402" s="79"/>
      <c r="H402" s="81">
        <v>95000.0</v>
      </c>
      <c r="I402" s="110">
        <f>F402/H402</f>
        <v>0.1631578947</v>
      </c>
      <c r="J402" s="54"/>
    </row>
    <row r="403" ht="14.25" customHeight="1">
      <c r="A403" s="57" t="s">
        <v>428</v>
      </c>
      <c r="B403" s="3"/>
      <c r="C403" s="3"/>
      <c r="D403" s="3"/>
      <c r="E403" s="3"/>
      <c r="F403" s="3"/>
      <c r="G403" s="58"/>
      <c r="H403" s="59"/>
      <c r="I403" s="63"/>
      <c r="J403" s="63"/>
    </row>
    <row r="404" ht="14.25" customHeight="1">
      <c r="A404" s="91" t="s">
        <v>429</v>
      </c>
      <c r="B404" s="92" t="s">
        <v>23</v>
      </c>
      <c r="C404" s="24">
        <v>50000.0</v>
      </c>
      <c r="D404" s="92">
        <v>0.5</v>
      </c>
      <c r="E404" s="67">
        <v>0.0</v>
      </c>
      <c r="F404" s="34">
        <f t="shared" ref="F404:F405" si="71">C404*D404+C404*D404*E404</f>
        <v>25000</v>
      </c>
      <c r="G404" s="74"/>
      <c r="H404" s="70"/>
      <c r="I404" s="38"/>
      <c r="J404" s="38"/>
    </row>
    <row r="405" ht="14.25" customHeight="1">
      <c r="A405" s="39" t="s">
        <v>39</v>
      </c>
      <c r="B405" s="40"/>
      <c r="C405" s="42">
        <v>6500.0</v>
      </c>
      <c r="D405" s="40">
        <v>1.0</v>
      </c>
      <c r="E405" s="67">
        <v>0.0</v>
      </c>
      <c r="F405" s="34">
        <f t="shared" si="71"/>
        <v>6500</v>
      </c>
      <c r="G405" s="74"/>
      <c r="H405" s="70"/>
      <c r="I405" s="38"/>
      <c r="J405" s="38"/>
    </row>
    <row r="406" ht="14.25" customHeight="1">
      <c r="A406" s="43" t="s">
        <v>51</v>
      </c>
      <c r="B406" s="44"/>
      <c r="C406" s="46"/>
      <c r="D406" s="44"/>
      <c r="E406" s="44"/>
      <c r="F406" s="48">
        <f>SUM(F404:F405)</f>
        <v>31500</v>
      </c>
      <c r="G406" s="79"/>
      <c r="H406" s="81">
        <v>95000.0</v>
      </c>
      <c r="I406" s="110">
        <f>F406/H406</f>
        <v>0.3315789474</v>
      </c>
      <c r="J406" s="54"/>
    </row>
    <row r="407" ht="14.25" customHeight="1">
      <c r="A407" s="57" t="s">
        <v>103</v>
      </c>
      <c r="B407" s="3"/>
      <c r="C407" s="3"/>
      <c r="D407" s="3"/>
      <c r="E407" s="3"/>
      <c r="F407" s="3"/>
      <c r="G407" s="58"/>
      <c r="H407" s="59"/>
      <c r="I407" s="63"/>
      <c r="J407" s="63"/>
    </row>
    <row r="408" ht="14.25" customHeight="1">
      <c r="A408" s="91" t="s">
        <v>108</v>
      </c>
      <c r="B408" s="92" t="s">
        <v>23</v>
      </c>
      <c r="C408" s="24">
        <v>60000.0</v>
      </c>
      <c r="D408" s="92">
        <v>0.5</v>
      </c>
      <c r="E408" s="67">
        <v>0.0</v>
      </c>
      <c r="F408" s="34">
        <f t="shared" ref="F408:F409" si="72">C408*D408+C408*D408*E408</f>
        <v>30000</v>
      </c>
      <c r="G408" s="74"/>
      <c r="H408" s="70"/>
      <c r="I408" s="38"/>
      <c r="J408" s="38"/>
    </row>
    <row r="409" ht="14.25" customHeight="1">
      <c r="A409" s="39" t="s">
        <v>39</v>
      </c>
      <c r="B409" s="40"/>
      <c r="C409" s="42">
        <v>6500.0</v>
      </c>
      <c r="D409" s="40">
        <v>1.0</v>
      </c>
      <c r="E409" s="67">
        <v>0.0</v>
      </c>
      <c r="F409" s="34">
        <f t="shared" si="72"/>
        <v>6500</v>
      </c>
      <c r="G409" s="74"/>
      <c r="H409" s="70"/>
      <c r="I409" s="38"/>
      <c r="J409" s="38"/>
    </row>
    <row r="410" ht="14.25" customHeight="1">
      <c r="A410" s="43" t="s">
        <v>51</v>
      </c>
      <c r="B410" s="44"/>
      <c r="C410" s="46"/>
      <c r="D410" s="44"/>
      <c r="E410" s="44"/>
      <c r="F410" s="48">
        <f>SUM(F408:F409)</f>
        <v>36500</v>
      </c>
      <c r="G410" s="79"/>
      <c r="H410" s="81">
        <v>105000.0</v>
      </c>
      <c r="I410" s="110">
        <f>F410/H410</f>
        <v>0.3476190476</v>
      </c>
      <c r="J410" s="54"/>
    </row>
    <row r="411" ht="14.25" customHeight="1">
      <c r="A411" s="57" t="s">
        <v>430</v>
      </c>
      <c r="B411" s="3"/>
      <c r="C411" s="3"/>
      <c r="D411" s="3"/>
      <c r="E411" s="3"/>
      <c r="F411" s="3"/>
      <c r="G411" s="58"/>
      <c r="H411" s="59"/>
      <c r="I411" s="63"/>
      <c r="J411" s="63"/>
    </row>
    <row r="412" ht="14.25" customHeight="1">
      <c r="A412" s="91" t="s">
        <v>108</v>
      </c>
      <c r="B412" s="92" t="s">
        <v>23</v>
      </c>
      <c r="C412" s="24">
        <v>60000.0</v>
      </c>
      <c r="D412" s="92">
        <v>0.5</v>
      </c>
      <c r="E412" s="67">
        <v>0.0</v>
      </c>
      <c r="F412" s="34">
        <f t="shared" ref="F412:F414" si="73">C412*D412+C412*D412*E412</f>
        <v>30000</v>
      </c>
      <c r="G412" s="74"/>
      <c r="H412" s="70"/>
      <c r="I412" s="38"/>
      <c r="J412" s="38"/>
    </row>
    <row r="413" ht="14.25" customHeight="1">
      <c r="A413" s="91" t="s">
        <v>431</v>
      </c>
      <c r="B413" s="92" t="s">
        <v>141</v>
      </c>
      <c r="C413" s="24">
        <v>15000.0</v>
      </c>
      <c r="D413" s="92">
        <v>1.0</v>
      </c>
      <c r="E413" s="67">
        <v>0.0</v>
      </c>
      <c r="F413" s="34">
        <f t="shared" si="73"/>
        <v>15000</v>
      </c>
      <c r="G413" s="74"/>
      <c r="H413" s="70"/>
      <c r="I413" s="38"/>
      <c r="J413" s="38"/>
    </row>
    <row r="414" ht="14.25" customHeight="1">
      <c r="A414" s="39" t="s">
        <v>39</v>
      </c>
      <c r="B414" s="40"/>
      <c r="C414" s="42">
        <v>6500.0</v>
      </c>
      <c r="D414" s="40">
        <v>1.0</v>
      </c>
      <c r="E414" s="67">
        <v>0.0</v>
      </c>
      <c r="F414" s="34">
        <f t="shared" si="73"/>
        <v>6500</v>
      </c>
      <c r="G414" s="74"/>
      <c r="H414" s="70"/>
      <c r="I414" s="38"/>
      <c r="J414" s="38"/>
    </row>
    <row r="415" ht="14.25" customHeight="1">
      <c r="A415" s="43" t="s">
        <v>51</v>
      </c>
      <c r="B415" s="44"/>
      <c r="C415" s="46"/>
      <c r="D415" s="44"/>
      <c r="E415" s="44"/>
      <c r="F415" s="48">
        <f>SUM(F412:F414)</f>
        <v>51500</v>
      </c>
      <c r="G415" s="79"/>
      <c r="H415" s="81">
        <v>135000.0</v>
      </c>
      <c r="I415" s="110">
        <f>F415/H415</f>
        <v>0.3814814815</v>
      </c>
      <c r="J415" s="54"/>
    </row>
    <row r="416" ht="14.25" customHeight="1">
      <c r="A416" s="57" t="s">
        <v>254</v>
      </c>
      <c r="B416" s="3"/>
      <c r="C416" s="3"/>
      <c r="D416" s="3"/>
      <c r="E416" s="3"/>
      <c r="F416" s="3"/>
      <c r="G416" s="58"/>
      <c r="H416" s="59"/>
      <c r="I416" s="63"/>
      <c r="J416" s="63"/>
    </row>
    <row r="417" ht="14.25" customHeight="1">
      <c r="A417" s="209" t="s">
        <v>261</v>
      </c>
      <c r="B417" s="210" t="s">
        <v>8</v>
      </c>
      <c r="C417" s="24">
        <v>20000.0</v>
      </c>
      <c r="D417" s="211">
        <v>0.2</v>
      </c>
      <c r="E417" s="67">
        <v>0.0</v>
      </c>
      <c r="F417" s="34">
        <f t="shared" ref="F417:F424" si="74">C417*D417+C417*D417*E417</f>
        <v>4000</v>
      </c>
      <c r="G417" s="68"/>
      <c r="H417" s="70"/>
      <c r="I417" s="38"/>
      <c r="J417" s="38"/>
    </row>
    <row r="418" ht="14.25" customHeight="1">
      <c r="A418" s="209" t="s">
        <v>432</v>
      </c>
      <c r="B418" s="210" t="s">
        <v>8</v>
      </c>
      <c r="C418" s="24">
        <v>15000.0</v>
      </c>
      <c r="D418" s="211">
        <v>0.2</v>
      </c>
      <c r="E418" s="67">
        <v>0.0</v>
      </c>
      <c r="F418" s="34">
        <f t="shared" si="74"/>
        <v>3000</v>
      </c>
      <c r="G418" s="68"/>
      <c r="H418" s="70"/>
      <c r="I418" s="38"/>
      <c r="J418" s="38"/>
    </row>
    <row r="419" ht="14.25" customHeight="1">
      <c r="A419" s="209" t="s">
        <v>433</v>
      </c>
      <c r="B419" s="210" t="s">
        <v>8</v>
      </c>
      <c r="C419" s="24">
        <v>15000.0</v>
      </c>
      <c r="D419" s="211">
        <v>0.2</v>
      </c>
      <c r="E419" s="67">
        <v>0.0</v>
      </c>
      <c r="F419" s="34">
        <f t="shared" si="74"/>
        <v>3000</v>
      </c>
      <c r="G419" s="68"/>
      <c r="H419" s="70"/>
      <c r="I419" s="38"/>
      <c r="J419" s="38"/>
    </row>
    <row r="420" ht="14.25" customHeight="1">
      <c r="A420" s="91" t="s">
        <v>259</v>
      </c>
      <c r="B420" s="92" t="s">
        <v>23</v>
      </c>
      <c r="C420" s="24">
        <v>380000.0</v>
      </c>
      <c r="D420" s="92">
        <v>0.01</v>
      </c>
      <c r="E420" s="67">
        <v>0.0</v>
      </c>
      <c r="F420" s="34">
        <f t="shared" si="74"/>
        <v>3800</v>
      </c>
      <c r="G420" s="74"/>
      <c r="H420" s="70"/>
      <c r="I420" s="38"/>
      <c r="J420" s="38"/>
    </row>
    <row r="421" ht="14.25" customHeight="1">
      <c r="A421" s="91" t="s">
        <v>274</v>
      </c>
      <c r="B421" s="92" t="s">
        <v>8</v>
      </c>
      <c r="C421" s="24">
        <v>30000.0</v>
      </c>
      <c r="D421" s="92">
        <v>0.2</v>
      </c>
      <c r="E421" s="67">
        <v>0.0</v>
      </c>
      <c r="F421" s="34">
        <f t="shared" si="74"/>
        <v>6000</v>
      </c>
      <c r="G421" s="74"/>
      <c r="H421" s="70"/>
      <c r="I421" s="38"/>
      <c r="J421" s="38"/>
    </row>
    <row r="422" ht="14.25" customHeight="1">
      <c r="A422" s="91" t="s">
        <v>262</v>
      </c>
      <c r="B422" s="92" t="s">
        <v>23</v>
      </c>
      <c r="C422" s="24">
        <v>30000.0</v>
      </c>
      <c r="D422" s="92">
        <v>0.2</v>
      </c>
      <c r="E422" s="67">
        <v>0.0</v>
      </c>
      <c r="F422" s="34">
        <f t="shared" si="74"/>
        <v>6000</v>
      </c>
      <c r="G422" s="74"/>
      <c r="H422" s="70"/>
      <c r="I422" s="38"/>
      <c r="J422" s="38"/>
    </row>
    <row r="423" ht="14.25" customHeight="1">
      <c r="A423" s="91" t="s">
        <v>46</v>
      </c>
      <c r="B423" s="92" t="s">
        <v>23</v>
      </c>
      <c r="C423" s="24">
        <v>12000.0</v>
      </c>
      <c r="D423" s="92">
        <v>0.02</v>
      </c>
      <c r="E423" s="67">
        <v>0.0</v>
      </c>
      <c r="F423" s="34">
        <f t="shared" si="74"/>
        <v>240</v>
      </c>
      <c r="G423" s="74"/>
      <c r="H423" s="70"/>
      <c r="I423" s="38"/>
      <c r="J423" s="38"/>
    </row>
    <row r="424" ht="14.25" customHeight="1">
      <c r="A424" s="39" t="s">
        <v>39</v>
      </c>
      <c r="B424" s="40"/>
      <c r="C424" s="42">
        <v>6500.0</v>
      </c>
      <c r="D424" s="40">
        <v>1.0</v>
      </c>
      <c r="E424" s="67">
        <v>0.0</v>
      </c>
      <c r="F424" s="34">
        <f t="shared" si="74"/>
        <v>6500</v>
      </c>
      <c r="G424" s="74"/>
      <c r="H424" s="70"/>
      <c r="I424" s="38"/>
      <c r="J424" s="38"/>
    </row>
    <row r="425" ht="14.25" customHeight="1">
      <c r="A425" s="43" t="s">
        <v>51</v>
      </c>
      <c r="B425" s="44"/>
      <c r="C425" s="46"/>
      <c r="D425" s="44"/>
      <c r="E425" s="44"/>
      <c r="F425" s="48">
        <f>SUM(F420:F424)</f>
        <v>22540</v>
      </c>
      <c r="G425" s="79"/>
      <c r="H425" s="81">
        <v>135000.0</v>
      </c>
      <c r="I425" s="110">
        <f>F425/H425</f>
        <v>0.166962963</v>
      </c>
      <c r="J425" s="54"/>
    </row>
    <row r="426" ht="14.25" customHeight="1">
      <c r="A426" s="57" t="s">
        <v>434</v>
      </c>
      <c r="B426" s="3"/>
      <c r="C426" s="3"/>
      <c r="D426" s="3"/>
      <c r="E426" s="3"/>
      <c r="F426" s="3"/>
      <c r="G426" s="58"/>
      <c r="H426" s="59"/>
      <c r="I426" s="63"/>
      <c r="J426" s="63"/>
    </row>
    <row r="427" ht="14.25" customHeight="1">
      <c r="A427" s="91" t="s">
        <v>435</v>
      </c>
      <c r="B427" s="92" t="s">
        <v>23</v>
      </c>
      <c r="C427" s="24">
        <v>35000.0</v>
      </c>
      <c r="D427" s="92">
        <v>0.5</v>
      </c>
      <c r="E427" s="67">
        <v>0.0</v>
      </c>
      <c r="F427" s="34">
        <f t="shared" ref="F427:F428" si="75">C427*D427+C427*D427*E427</f>
        <v>17500</v>
      </c>
      <c r="G427" s="74"/>
      <c r="H427" s="70"/>
      <c r="I427" s="38"/>
      <c r="J427" s="38"/>
    </row>
    <row r="428" ht="14.25" customHeight="1">
      <c r="A428" s="39" t="s">
        <v>39</v>
      </c>
      <c r="B428" s="40"/>
      <c r="C428" s="42">
        <v>6500.0</v>
      </c>
      <c r="D428" s="40">
        <v>1.0</v>
      </c>
      <c r="E428" s="67">
        <v>0.0</v>
      </c>
      <c r="F428" s="34">
        <f t="shared" si="75"/>
        <v>6500</v>
      </c>
      <c r="G428" s="74"/>
      <c r="H428" s="70"/>
      <c r="I428" s="38"/>
      <c r="J428" s="38"/>
    </row>
    <row r="429" ht="14.25" customHeight="1">
      <c r="A429" s="43" t="s">
        <v>51</v>
      </c>
      <c r="B429" s="44"/>
      <c r="C429" s="46"/>
      <c r="D429" s="44"/>
      <c r="E429" s="44"/>
      <c r="F429" s="48">
        <f>SUM(F427:F428)</f>
        <v>24000</v>
      </c>
      <c r="G429" s="79"/>
      <c r="H429" s="81">
        <v>105000.0</v>
      </c>
      <c r="I429" s="110">
        <f>F429/H429</f>
        <v>0.2285714286</v>
      </c>
      <c r="J429" s="54"/>
    </row>
    <row r="430" ht="14.25" customHeight="1">
      <c r="A430" s="57" t="s">
        <v>436</v>
      </c>
      <c r="B430" s="3"/>
      <c r="C430" s="3"/>
      <c r="D430" s="3"/>
      <c r="E430" s="3"/>
      <c r="F430" s="3"/>
      <c r="G430" s="58"/>
      <c r="H430" s="59"/>
      <c r="I430" s="63"/>
      <c r="J430" s="63"/>
    </row>
    <row r="431" ht="14.25" customHeight="1">
      <c r="A431" s="91" t="s">
        <v>437</v>
      </c>
      <c r="B431" s="92" t="s">
        <v>23</v>
      </c>
      <c r="C431" s="24">
        <v>35000.0</v>
      </c>
      <c r="D431" s="92">
        <v>1.0</v>
      </c>
      <c r="E431" s="67">
        <v>0.0</v>
      </c>
      <c r="F431" s="34">
        <f t="shared" ref="F431:F432" si="76">C431*D431+C431*D431*E431</f>
        <v>35000</v>
      </c>
      <c r="G431" s="74"/>
      <c r="H431" s="70"/>
      <c r="I431" s="38"/>
      <c r="J431" s="38"/>
    </row>
    <row r="432" ht="14.25" customHeight="1">
      <c r="A432" s="39" t="s">
        <v>39</v>
      </c>
      <c r="B432" s="40"/>
      <c r="C432" s="42">
        <v>6500.0</v>
      </c>
      <c r="D432" s="40">
        <v>1.0</v>
      </c>
      <c r="E432" s="67">
        <v>0.0</v>
      </c>
      <c r="F432" s="34">
        <f t="shared" si="76"/>
        <v>6500</v>
      </c>
      <c r="G432" s="74"/>
      <c r="H432" s="70"/>
      <c r="I432" s="38"/>
      <c r="J432" s="38"/>
    </row>
    <row r="433" ht="14.25" customHeight="1">
      <c r="A433" s="43" t="s">
        <v>51</v>
      </c>
      <c r="B433" s="44"/>
      <c r="C433" s="46"/>
      <c r="D433" s="44"/>
      <c r="E433" s="44"/>
      <c r="F433" s="48">
        <f>SUM(F431:F432)</f>
        <v>41500</v>
      </c>
      <c r="G433" s="79"/>
      <c r="H433" s="81">
        <v>105000.0</v>
      </c>
      <c r="I433" s="110">
        <f>F433/H433</f>
        <v>0.3952380952</v>
      </c>
      <c r="J433" s="54"/>
    </row>
    <row r="434" ht="14.25" customHeight="1">
      <c r="A434" s="57" t="s">
        <v>438</v>
      </c>
      <c r="B434" s="3"/>
      <c r="C434" s="3"/>
      <c r="D434" s="3"/>
      <c r="E434" s="3"/>
      <c r="F434" s="3"/>
      <c r="G434" s="58"/>
      <c r="H434" s="59"/>
      <c r="I434" s="63"/>
      <c r="J434" s="63"/>
    </row>
    <row r="435" ht="14.25" customHeight="1">
      <c r="A435" s="91" t="s">
        <v>361</v>
      </c>
      <c r="B435" s="92" t="s">
        <v>23</v>
      </c>
      <c r="C435" s="24">
        <v>35000.0</v>
      </c>
      <c r="D435" s="92">
        <v>0.5</v>
      </c>
      <c r="E435" s="67">
        <v>0.0</v>
      </c>
      <c r="F435" s="34">
        <f t="shared" ref="F435:F436" si="77">C435*D435+C435*D435*E435</f>
        <v>17500</v>
      </c>
      <c r="G435" s="74"/>
      <c r="H435" s="70"/>
      <c r="I435" s="38"/>
      <c r="J435" s="38"/>
    </row>
    <row r="436" ht="14.25" customHeight="1">
      <c r="A436" s="39" t="s">
        <v>39</v>
      </c>
      <c r="B436" s="40"/>
      <c r="C436" s="42">
        <v>6500.0</v>
      </c>
      <c r="D436" s="40">
        <v>1.0</v>
      </c>
      <c r="E436" s="67">
        <v>0.0</v>
      </c>
      <c r="F436" s="34">
        <f t="shared" si="77"/>
        <v>6500</v>
      </c>
      <c r="G436" s="74"/>
      <c r="H436" s="70"/>
      <c r="I436" s="38"/>
      <c r="J436" s="38"/>
    </row>
    <row r="437" ht="14.25" customHeight="1">
      <c r="A437" s="43" t="s">
        <v>51</v>
      </c>
      <c r="B437" s="44"/>
      <c r="C437" s="46"/>
      <c r="D437" s="44"/>
      <c r="E437" s="44"/>
      <c r="F437" s="48">
        <f>SUM(F435:F436)</f>
        <v>24000</v>
      </c>
      <c r="G437" s="79"/>
      <c r="H437" s="81">
        <v>105000.0</v>
      </c>
      <c r="I437" s="110">
        <f>F437/H437</f>
        <v>0.2285714286</v>
      </c>
      <c r="J437" s="54"/>
    </row>
    <row r="438" ht="14.25" customHeight="1">
      <c r="A438" s="57" t="s">
        <v>347</v>
      </c>
      <c r="B438" s="3"/>
      <c r="C438" s="3"/>
      <c r="D438" s="3"/>
      <c r="E438" s="3"/>
      <c r="F438" s="3"/>
      <c r="G438" s="58"/>
      <c r="H438" s="59"/>
      <c r="I438" s="63"/>
      <c r="J438" s="63"/>
    </row>
    <row r="439" ht="14.25" customHeight="1">
      <c r="A439" s="91" t="s">
        <v>250</v>
      </c>
      <c r="B439" s="92" t="s">
        <v>23</v>
      </c>
      <c r="C439" s="24">
        <v>15000.0</v>
      </c>
      <c r="D439" s="92">
        <v>0.5</v>
      </c>
      <c r="E439" s="67">
        <v>0.0</v>
      </c>
      <c r="F439" s="34">
        <f t="shared" ref="F439:F440" si="78">C439*D439+C439*D439*E439</f>
        <v>7500</v>
      </c>
      <c r="G439" s="74"/>
      <c r="H439" s="70"/>
      <c r="I439" s="38"/>
      <c r="J439" s="38"/>
    </row>
    <row r="440" ht="14.25" customHeight="1">
      <c r="A440" s="39" t="s">
        <v>39</v>
      </c>
      <c r="B440" s="40"/>
      <c r="C440" s="42">
        <v>6500.0</v>
      </c>
      <c r="D440" s="40">
        <v>1.0</v>
      </c>
      <c r="E440" s="67">
        <v>0.0</v>
      </c>
      <c r="F440" s="34">
        <f t="shared" si="78"/>
        <v>6500</v>
      </c>
      <c r="G440" s="74"/>
      <c r="H440" s="70"/>
      <c r="I440" s="38"/>
      <c r="J440" s="38"/>
    </row>
    <row r="441" ht="14.25" customHeight="1">
      <c r="A441" s="43" t="s">
        <v>51</v>
      </c>
      <c r="B441" s="44"/>
      <c r="C441" s="46"/>
      <c r="D441" s="44"/>
      <c r="E441" s="44"/>
      <c r="F441" s="48">
        <f>SUM(F439:F440)</f>
        <v>14000</v>
      </c>
      <c r="G441" s="79"/>
      <c r="H441" s="81">
        <v>105000.0</v>
      </c>
      <c r="I441" s="110">
        <f>F441/H441</f>
        <v>0.1333333333</v>
      </c>
      <c r="J441" s="54"/>
    </row>
    <row r="442" ht="14.25" customHeight="1">
      <c r="A442" s="212" t="s">
        <v>439</v>
      </c>
      <c r="B442" s="8"/>
      <c r="C442" s="8"/>
      <c r="D442" s="8"/>
      <c r="E442" s="8"/>
      <c r="F442" s="8"/>
      <c r="G442" s="8"/>
      <c r="H442" s="8"/>
      <c r="I442" s="213"/>
    </row>
    <row r="443" ht="14.25" customHeight="1">
      <c r="A443" s="57" t="s">
        <v>440</v>
      </c>
      <c r="B443" s="3"/>
      <c r="C443" s="3"/>
      <c r="D443" s="3"/>
      <c r="E443" s="3"/>
      <c r="F443" s="3"/>
      <c r="G443" s="58"/>
      <c r="H443" s="59"/>
      <c r="I443" s="63"/>
    </row>
    <row r="444" ht="14.25" customHeight="1">
      <c r="A444" s="22" t="s">
        <v>297</v>
      </c>
      <c r="B444" s="23" t="s">
        <v>105</v>
      </c>
      <c r="C444" s="24">
        <v>3500.0</v>
      </c>
      <c r="D444" s="25">
        <v>2.0</v>
      </c>
      <c r="E444" s="67">
        <v>0.0</v>
      </c>
      <c r="F444" s="34">
        <f t="shared" ref="F444:F446" si="79">C444*D444+C444*D444*E444</f>
        <v>7000</v>
      </c>
      <c r="G444" s="74"/>
      <c r="H444" s="70"/>
      <c r="I444" s="38"/>
    </row>
    <row r="445" ht="14.25" customHeight="1">
      <c r="A445" s="22" t="s">
        <v>441</v>
      </c>
      <c r="B445" s="23" t="s">
        <v>8</v>
      </c>
      <c r="C445" s="24">
        <v>275000.0</v>
      </c>
      <c r="D445" s="25">
        <v>0.1</v>
      </c>
      <c r="E445" s="67">
        <v>0.0</v>
      </c>
      <c r="F445" s="34">
        <f t="shared" si="79"/>
        <v>27500</v>
      </c>
      <c r="G445" s="74"/>
      <c r="H445" s="70"/>
      <c r="I445" s="38"/>
    </row>
    <row r="446" ht="14.25" customHeight="1">
      <c r="A446" s="39" t="s">
        <v>39</v>
      </c>
      <c r="B446" s="40"/>
      <c r="C446" s="42">
        <v>6500.0</v>
      </c>
      <c r="D446" s="40">
        <v>1.0</v>
      </c>
      <c r="E446" s="67">
        <v>0.0</v>
      </c>
      <c r="F446" s="34">
        <f t="shared" si="79"/>
        <v>6500</v>
      </c>
      <c r="G446" s="74"/>
      <c r="H446" s="70"/>
      <c r="I446" s="38"/>
    </row>
    <row r="447" ht="14.25" customHeight="1">
      <c r="A447" s="43" t="s">
        <v>51</v>
      </c>
      <c r="B447" s="44"/>
      <c r="C447" s="46"/>
      <c r="D447" s="44"/>
      <c r="E447" s="44"/>
      <c r="F447" s="48">
        <f>SUM(F444:F446)</f>
        <v>41000</v>
      </c>
      <c r="G447" s="79"/>
      <c r="H447" s="81">
        <v>135000.0</v>
      </c>
      <c r="I447" s="110">
        <f>F447/H447</f>
        <v>0.3037037037</v>
      </c>
    </row>
    <row r="448" ht="14.25" customHeight="1">
      <c r="A448" s="57" t="s">
        <v>442</v>
      </c>
      <c r="B448" s="3"/>
      <c r="C448" s="3"/>
      <c r="D448" s="3"/>
      <c r="E448" s="3"/>
      <c r="F448" s="3"/>
      <c r="G448" s="58"/>
      <c r="H448" s="59"/>
      <c r="I448" s="63"/>
    </row>
    <row r="449" ht="14.25" customHeight="1">
      <c r="A449" s="91" t="s">
        <v>424</v>
      </c>
      <c r="B449" s="92" t="s">
        <v>23</v>
      </c>
      <c r="C449" s="24">
        <v>32000.0</v>
      </c>
      <c r="D449" s="92">
        <v>0.2</v>
      </c>
      <c r="E449" s="67">
        <v>0.0</v>
      </c>
      <c r="F449" s="34">
        <f t="shared" ref="F449:F455" si="80">C449*D449+C449*D449*E449</f>
        <v>6400</v>
      </c>
      <c r="G449" s="74"/>
      <c r="H449" s="70"/>
      <c r="I449" s="38"/>
    </row>
    <row r="450" ht="14.25" customHeight="1">
      <c r="A450" s="91" t="s">
        <v>443</v>
      </c>
      <c r="B450" s="92" t="s">
        <v>23</v>
      </c>
      <c r="C450" s="24">
        <v>50000.0</v>
      </c>
      <c r="D450" s="92">
        <v>0.1</v>
      </c>
      <c r="E450" s="67">
        <v>0.0</v>
      </c>
      <c r="F450" s="34">
        <f t="shared" si="80"/>
        <v>5000</v>
      </c>
      <c r="G450" s="74"/>
      <c r="H450" s="70"/>
      <c r="I450" s="38"/>
    </row>
    <row r="451" ht="14.25" customHeight="1">
      <c r="A451" s="91" t="s">
        <v>422</v>
      </c>
      <c r="B451" s="92" t="s">
        <v>23</v>
      </c>
      <c r="C451" s="24">
        <v>18000.0</v>
      </c>
      <c r="D451" s="92">
        <v>0.2</v>
      </c>
      <c r="E451" s="67">
        <v>0.0</v>
      </c>
      <c r="F451" s="34">
        <f t="shared" si="80"/>
        <v>3600</v>
      </c>
      <c r="G451" s="74"/>
      <c r="H451" s="70"/>
      <c r="I451" s="38"/>
    </row>
    <row r="452" ht="14.25" customHeight="1">
      <c r="A452" s="91" t="s">
        <v>78</v>
      </c>
      <c r="B452" s="92" t="s">
        <v>23</v>
      </c>
      <c r="C452" s="24">
        <v>15000.0</v>
      </c>
      <c r="D452" s="92">
        <v>0.2</v>
      </c>
      <c r="E452" s="67">
        <v>0.0</v>
      </c>
      <c r="F452" s="34">
        <f t="shared" si="80"/>
        <v>3000</v>
      </c>
      <c r="G452" s="74"/>
      <c r="H452" s="70"/>
      <c r="I452" s="38"/>
    </row>
    <row r="453" ht="14.25" customHeight="1">
      <c r="A453" s="91" t="s">
        <v>423</v>
      </c>
      <c r="B453" s="92" t="s">
        <v>23</v>
      </c>
      <c r="C453" s="24">
        <v>25000.0</v>
      </c>
      <c r="D453" s="92">
        <v>0.2</v>
      </c>
      <c r="E453" s="67">
        <v>0.0</v>
      </c>
      <c r="F453" s="34">
        <f t="shared" si="80"/>
        <v>5000</v>
      </c>
      <c r="G453" s="74"/>
      <c r="H453" s="70"/>
      <c r="I453" s="38"/>
    </row>
    <row r="454" ht="14.25" customHeight="1">
      <c r="A454" s="91" t="s">
        <v>240</v>
      </c>
      <c r="B454" s="92" t="s">
        <v>23</v>
      </c>
      <c r="C454" s="24">
        <v>12000.0</v>
      </c>
      <c r="D454" s="92">
        <v>0.2</v>
      </c>
      <c r="E454" s="67">
        <v>0.0</v>
      </c>
      <c r="F454" s="34">
        <f t="shared" si="80"/>
        <v>2400</v>
      </c>
      <c r="G454" s="74"/>
      <c r="H454" s="70"/>
      <c r="I454" s="38"/>
    </row>
    <row r="455" ht="14.25" customHeight="1">
      <c r="A455" s="39" t="s">
        <v>39</v>
      </c>
      <c r="B455" s="40"/>
      <c r="C455" s="42">
        <v>6500.0</v>
      </c>
      <c r="D455" s="40">
        <v>1.0</v>
      </c>
      <c r="E455" s="67">
        <v>0.0</v>
      </c>
      <c r="F455" s="34">
        <f t="shared" si="80"/>
        <v>6500</v>
      </c>
      <c r="G455" s="74"/>
      <c r="H455" s="70"/>
      <c r="I455" s="38"/>
    </row>
    <row r="456" ht="14.25" customHeight="1">
      <c r="A456" s="43" t="s">
        <v>51</v>
      </c>
      <c r="B456" s="44"/>
      <c r="C456" s="46"/>
      <c r="D456" s="44"/>
      <c r="E456" s="44"/>
      <c r="F456" s="48">
        <f>SUM(F449:F455)</f>
        <v>31900</v>
      </c>
      <c r="G456" s="79"/>
      <c r="H456" s="81">
        <v>135000.0</v>
      </c>
      <c r="I456" s="110">
        <f>F456/H456</f>
        <v>0.2362962963</v>
      </c>
    </row>
    <row r="457" ht="14.25" customHeight="1">
      <c r="A457" s="57" t="s">
        <v>444</v>
      </c>
      <c r="B457" s="3"/>
      <c r="C457" s="3"/>
      <c r="D457" s="3"/>
      <c r="E457" s="3"/>
      <c r="F457" s="3"/>
      <c r="G457" s="58"/>
      <c r="H457" s="59"/>
      <c r="I457" s="63"/>
    </row>
    <row r="458" ht="14.25" customHeight="1">
      <c r="A458" s="65" t="s">
        <v>48</v>
      </c>
      <c r="B458" s="23" t="s">
        <v>23</v>
      </c>
      <c r="C458" s="24">
        <v>115000.0</v>
      </c>
      <c r="D458" s="25">
        <v>0.25</v>
      </c>
      <c r="E458" s="67">
        <v>0.0</v>
      </c>
      <c r="F458" s="34">
        <f t="shared" ref="F458:F462" si="81">C458*D458+C458*D458*E458</f>
        <v>28750</v>
      </c>
      <c r="G458" s="74"/>
      <c r="H458" s="70"/>
      <c r="I458" s="38"/>
    </row>
    <row r="459" ht="14.25" customHeight="1">
      <c r="A459" s="65" t="s">
        <v>146</v>
      </c>
      <c r="B459" s="23" t="s">
        <v>23</v>
      </c>
      <c r="C459" s="24">
        <v>19000.0</v>
      </c>
      <c r="D459" s="25">
        <v>0.1</v>
      </c>
      <c r="E459" s="67">
        <v>0.0</v>
      </c>
      <c r="F459" s="34">
        <f t="shared" si="81"/>
        <v>1900</v>
      </c>
      <c r="G459" s="74"/>
      <c r="H459" s="70"/>
      <c r="I459" s="38"/>
    </row>
    <row r="460" ht="14.25" customHeight="1">
      <c r="A460" s="65" t="s">
        <v>162</v>
      </c>
      <c r="B460" s="23" t="s">
        <v>23</v>
      </c>
      <c r="C460" s="24">
        <v>140000.0</v>
      </c>
      <c r="D460" s="25">
        <v>0.02</v>
      </c>
      <c r="E460" s="67">
        <v>0.0</v>
      </c>
      <c r="F460" s="34">
        <f t="shared" si="81"/>
        <v>2800</v>
      </c>
      <c r="G460" s="74"/>
      <c r="H460" s="70"/>
      <c r="I460" s="38"/>
    </row>
    <row r="461" ht="14.25" customHeight="1">
      <c r="A461" s="65" t="s">
        <v>445</v>
      </c>
      <c r="B461" s="23" t="s">
        <v>166</v>
      </c>
      <c r="C461" s="24">
        <v>2800.0</v>
      </c>
      <c r="D461" s="25">
        <v>1.0</v>
      </c>
      <c r="E461" s="67">
        <v>0.0</v>
      </c>
      <c r="F461" s="34">
        <f t="shared" si="81"/>
        <v>2800</v>
      </c>
      <c r="G461" s="74"/>
      <c r="H461" s="70"/>
      <c r="I461" s="38"/>
    </row>
    <row r="462" ht="14.25" customHeight="1">
      <c r="A462" s="39" t="s">
        <v>39</v>
      </c>
      <c r="B462" s="40"/>
      <c r="C462" s="42">
        <v>6500.0</v>
      </c>
      <c r="D462" s="40">
        <v>1.0</v>
      </c>
      <c r="E462" s="67">
        <v>0.0</v>
      </c>
      <c r="F462" s="34">
        <f t="shared" si="81"/>
        <v>6500</v>
      </c>
      <c r="G462" s="74"/>
      <c r="H462" s="70"/>
      <c r="I462" s="38"/>
    </row>
    <row r="463" ht="14.25" customHeight="1">
      <c r="A463" s="43" t="s">
        <v>51</v>
      </c>
      <c r="B463" s="44"/>
      <c r="C463" s="46"/>
      <c r="D463" s="44"/>
      <c r="E463" s="44"/>
      <c r="F463" s="48">
        <f>SUM(F458:F462)</f>
        <v>42750</v>
      </c>
      <c r="G463" s="79"/>
      <c r="H463" s="70">
        <v>155000.0</v>
      </c>
      <c r="I463" s="110">
        <f>F463/H463</f>
        <v>0.2758064516</v>
      </c>
    </row>
    <row r="464" ht="14.25" customHeight="1">
      <c r="A464" s="57" t="s">
        <v>446</v>
      </c>
      <c r="B464" s="3"/>
      <c r="C464" s="3"/>
      <c r="D464" s="3"/>
      <c r="E464" s="3"/>
      <c r="F464" s="3"/>
      <c r="G464" s="58"/>
      <c r="H464" s="59"/>
      <c r="I464" s="63"/>
    </row>
    <row r="465" ht="14.25" customHeight="1">
      <c r="A465" s="22" t="s">
        <v>445</v>
      </c>
      <c r="B465" s="23" t="s">
        <v>166</v>
      </c>
      <c r="C465" s="24">
        <v>2800.0</v>
      </c>
      <c r="D465" s="25">
        <v>1.0</v>
      </c>
      <c r="E465" s="67">
        <v>0.0</v>
      </c>
      <c r="F465" s="34">
        <f t="shared" ref="F465:F470" si="82">C465*D465+C465*D465*E465</f>
        <v>2800</v>
      </c>
      <c r="G465" s="74"/>
      <c r="H465" s="70"/>
      <c r="I465" s="38"/>
    </row>
    <row r="466" ht="14.25" customHeight="1">
      <c r="A466" s="22" t="s">
        <v>57</v>
      </c>
      <c r="B466" s="23" t="s">
        <v>23</v>
      </c>
      <c r="C466" s="24">
        <v>185000.0</v>
      </c>
      <c r="D466" s="25">
        <v>0.1</v>
      </c>
      <c r="E466" s="67">
        <v>0.0</v>
      </c>
      <c r="F466" s="34">
        <f t="shared" si="82"/>
        <v>18500</v>
      </c>
      <c r="G466" s="74"/>
      <c r="H466" s="70"/>
      <c r="I466" s="38"/>
    </row>
    <row r="467" ht="14.25" customHeight="1">
      <c r="A467" s="22" t="s">
        <v>146</v>
      </c>
      <c r="B467" s="23" t="s">
        <v>23</v>
      </c>
      <c r="C467" s="24">
        <v>19000.0</v>
      </c>
      <c r="D467" s="25">
        <v>0.1</v>
      </c>
      <c r="E467" s="67">
        <v>0.0</v>
      </c>
      <c r="F467" s="34">
        <f t="shared" si="82"/>
        <v>1900</v>
      </c>
      <c r="G467" s="74"/>
      <c r="H467" s="70"/>
      <c r="I467" s="38"/>
    </row>
    <row r="468" ht="14.25" customHeight="1">
      <c r="A468" s="22" t="s">
        <v>447</v>
      </c>
      <c r="B468" s="23" t="s">
        <v>23</v>
      </c>
      <c r="C468" s="24">
        <v>255000.0</v>
      </c>
      <c r="D468" s="25">
        <v>0.1</v>
      </c>
      <c r="E468" s="67">
        <v>0.0</v>
      </c>
      <c r="F468" s="34">
        <f t="shared" si="82"/>
        <v>25500</v>
      </c>
      <c r="G468" s="74"/>
      <c r="H468" s="70"/>
      <c r="I468" s="38"/>
    </row>
    <row r="469" ht="14.25" customHeight="1">
      <c r="A469" s="22" t="s">
        <v>162</v>
      </c>
      <c r="B469" s="23" t="s">
        <v>23</v>
      </c>
      <c r="C469" s="24">
        <v>140000.0</v>
      </c>
      <c r="D469" s="25">
        <v>0.02</v>
      </c>
      <c r="E469" s="67">
        <v>0.0</v>
      </c>
      <c r="F469" s="34">
        <f t="shared" si="82"/>
        <v>2800</v>
      </c>
      <c r="G469" s="74"/>
      <c r="H469" s="70"/>
      <c r="I469" s="38"/>
    </row>
    <row r="470" ht="14.25" customHeight="1">
      <c r="A470" s="39" t="s">
        <v>39</v>
      </c>
      <c r="B470" s="40"/>
      <c r="C470" s="42">
        <v>6500.0</v>
      </c>
      <c r="D470" s="40">
        <v>1.0</v>
      </c>
      <c r="E470" s="67">
        <v>0.0</v>
      </c>
      <c r="F470" s="34">
        <f t="shared" si="82"/>
        <v>6500</v>
      </c>
      <c r="G470" s="74"/>
      <c r="H470" s="70"/>
      <c r="I470" s="38"/>
    </row>
    <row r="471" ht="14.25" customHeight="1">
      <c r="A471" s="43" t="s">
        <v>51</v>
      </c>
      <c r="B471" s="44"/>
      <c r="C471" s="46"/>
      <c r="D471" s="44"/>
      <c r="E471" s="44"/>
      <c r="F471" s="48">
        <f>SUM(F465:F470)</f>
        <v>58000</v>
      </c>
      <c r="G471" s="79"/>
      <c r="H471" s="81">
        <v>155000.0</v>
      </c>
      <c r="I471" s="110">
        <f>F471/H471</f>
        <v>0.3741935484</v>
      </c>
    </row>
    <row r="472" ht="14.25" customHeight="1">
      <c r="A472" s="57" t="s">
        <v>448</v>
      </c>
      <c r="B472" s="3"/>
      <c r="C472" s="3"/>
      <c r="D472" s="3"/>
      <c r="E472" s="3"/>
      <c r="F472" s="3"/>
      <c r="G472" s="58"/>
      <c r="H472" s="59"/>
      <c r="I472" s="63"/>
    </row>
    <row r="473" ht="14.25" customHeight="1">
      <c r="A473" s="22" t="s">
        <v>445</v>
      </c>
      <c r="B473" s="23" t="s">
        <v>166</v>
      </c>
      <c r="C473" s="24">
        <v>2800.0</v>
      </c>
      <c r="D473" s="25">
        <v>1.0</v>
      </c>
      <c r="E473" s="67">
        <v>0.0</v>
      </c>
      <c r="F473" s="34">
        <f t="shared" ref="F473:F476" si="83">C473*D473+C473*D473*E473</f>
        <v>2800</v>
      </c>
      <c r="G473" s="74"/>
      <c r="H473" s="70"/>
      <c r="I473" s="38"/>
    </row>
    <row r="474" ht="14.25" customHeight="1">
      <c r="A474" s="22" t="s">
        <v>146</v>
      </c>
      <c r="B474" s="23" t="s">
        <v>23</v>
      </c>
      <c r="C474" s="24">
        <v>19000.0</v>
      </c>
      <c r="D474" s="25">
        <v>0.1</v>
      </c>
      <c r="E474" s="67">
        <v>0.0</v>
      </c>
      <c r="F474" s="34">
        <f t="shared" si="83"/>
        <v>1900</v>
      </c>
      <c r="G474" s="74"/>
      <c r="H474" s="70"/>
      <c r="I474" s="38"/>
    </row>
    <row r="475" ht="14.25" customHeight="1">
      <c r="A475" s="22" t="s">
        <v>162</v>
      </c>
      <c r="B475" s="23" t="s">
        <v>23</v>
      </c>
      <c r="C475" s="24">
        <v>140000.0</v>
      </c>
      <c r="D475" s="25">
        <v>0.02</v>
      </c>
      <c r="E475" s="67">
        <v>0.0</v>
      </c>
      <c r="F475" s="34">
        <f t="shared" si="83"/>
        <v>2800</v>
      </c>
      <c r="G475" s="74"/>
      <c r="H475" s="70"/>
      <c r="I475" s="38"/>
    </row>
    <row r="476" ht="14.25" customHeight="1">
      <c r="A476" s="39" t="s">
        <v>39</v>
      </c>
      <c r="B476" s="40"/>
      <c r="C476" s="42">
        <v>6500.0</v>
      </c>
      <c r="D476" s="40">
        <v>1.0</v>
      </c>
      <c r="E476" s="67">
        <v>0.0</v>
      </c>
      <c r="F476" s="34">
        <f t="shared" si="83"/>
        <v>6500</v>
      </c>
      <c r="G476" s="74"/>
      <c r="H476" s="70"/>
      <c r="I476" s="38"/>
    </row>
    <row r="477" ht="14.25" customHeight="1">
      <c r="A477" s="43" t="s">
        <v>51</v>
      </c>
      <c r="B477" s="44"/>
      <c r="C477" s="46"/>
      <c r="D477" s="44"/>
      <c r="E477" s="44"/>
      <c r="F477" s="48">
        <f>SUM(F473:F476)</f>
        <v>14000</v>
      </c>
      <c r="G477" s="79"/>
      <c r="H477" s="81">
        <v>105000.0</v>
      </c>
      <c r="I477" s="110">
        <f>F477/H477</f>
        <v>0.1333333333</v>
      </c>
    </row>
    <row r="478" ht="14.25" customHeight="1">
      <c r="A478" s="57" t="s">
        <v>449</v>
      </c>
      <c r="B478" s="3"/>
      <c r="C478" s="3"/>
      <c r="D478" s="3"/>
      <c r="E478" s="3"/>
      <c r="F478" s="3"/>
      <c r="G478" s="58"/>
      <c r="H478" s="59"/>
      <c r="I478" s="63"/>
    </row>
    <row r="479" ht="14.25" customHeight="1">
      <c r="A479" s="22" t="s">
        <v>297</v>
      </c>
      <c r="B479" s="23" t="s">
        <v>105</v>
      </c>
      <c r="C479" s="24">
        <v>3500.0</v>
      </c>
      <c r="D479" s="25">
        <v>2.0</v>
      </c>
      <c r="E479" s="67">
        <v>0.0</v>
      </c>
      <c r="F479" s="34">
        <f t="shared" ref="F479:F483" si="84">C479*D479+C479*D479*E479</f>
        <v>7000</v>
      </c>
      <c r="G479" s="74"/>
      <c r="H479" s="70"/>
      <c r="I479" s="38"/>
    </row>
    <row r="480" ht="14.25" customHeight="1">
      <c r="A480" s="91" t="s">
        <v>422</v>
      </c>
      <c r="B480" s="92" t="s">
        <v>23</v>
      </c>
      <c r="C480" s="24">
        <v>18000.0</v>
      </c>
      <c r="D480" s="92">
        <v>0.2</v>
      </c>
      <c r="E480" s="67">
        <v>0.0</v>
      </c>
      <c r="F480" s="34">
        <f t="shared" si="84"/>
        <v>3600</v>
      </c>
      <c r="G480" s="74"/>
      <c r="H480" s="70"/>
      <c r="I480" s="38"/>
    </row>
    <row r="481" ht="14.25" customHeight="1">
      <c r="A481" s="91" t="s">
        <v>78</v>
      </c>
      <c r="B481" s="92" t="s">
        <v>23</v>
      </c>
      <c r="C481" s="24">
        <v>15000.0</v>
      </c>
      <c r="D481" s="92">
        <v>0.2</v>
      </c>
      <c r="E481" s="67">
        <v>0.0</v>
      </c>
      <c r="F481" s="34">
        <f t="shared" si="84"/>
        <v>3000</v>
      </c>
      <c r="G481" s="74"/>
      <c r="H481" s="70"/>
      <c r="I481" s="38"/>
    </row>
    <row r="482" ht="14.25" customHeight="1">
      <c r="A482" s="91" t="s">
        <v>423</v>
      </c>
      <c r="B482" s="92" t="s">
        <v>23</v>
      </c>
      <c r="C482" s="24">
        <v>25000.0</v>
      </c>
      <c r="D482" s="92">
        <v>0.2</v>
      </c>
      <c r="E482" s="67">
        <v>0.0</v>
      </c>
      <c r="F482" s="34">
        <f t="shared" si="84"/>
        <v>5000</v>
      </c>
      <c r="G482" s="74"/>
      <c r="H482" s="70"/>
      <c r="I482" s="38"/>
    </row>
    <row r="483" ht="14.25" customHeight="1">
      <c r="A483" s="39" t="s">
        <v>39</v>
      </c>
      <c r="B483" s="40"/>
      <c r="C483" s="42">
        <v>6500.0</v>
      </c>
      <c r="D483" s="40">
        <v>1.0</v>
      </c>
      <c r="E483" s="67">
        <v>0.0</v>
      </c>
      <c r="F483" s="34">
        <f t="shared" si="84"/>
        <v>6500</v>
      </c>
      <c r="G483" s="74"/>
      <c r="H483" s="70"/>
      <c r="I483" s="38"/>
    </row>
    <row r="484" ht="14.25" customHeight="1">
      <c r="A484" s="43" t="s">
        <v>51</v>
      </c>
      <c r="B484" s="44"/>
      <c r="C484" s="46"/>
      <c r="D484" s="44"/>
      <c r="E484" s="44"/>
      <c r="F484" s="48">
        <f>SUM(F479:F483)</f>
        <v>25100</v>
      </c>
      <c r="G484" s="79"/>
      <c r="H484" s="81">
        <v>105000.0</v>
      </c>
      <c r="I484" s="110">
        <f>F484/H484</f>
        <v>0.239047619</v>
      </c>
    </row>
    <row r="485" ht="14.25" customHeight="1">
      <c r="A485" s="57" t="s">
        <v>450</v>
      </c>
      <c r="B485" s="3"/>
      <c r="C485" s="3"/>
      <c r="D485" s="3"/>
      <c r="E485" s="3"/>
      <c r="F485" s="3"/>
      <c r="G485" s="58"/>
      <c r="H485" s="59"/>
      <c r="I485" s="63"/>
      <c r="J485" s="63"/>
    </row>
    <row r="486" ht="14.25" customHeight="1">
      <c r="A486" s="91" t="s">
        <v>18</v>
      </c>
      <c r="B486" s="92" t="s">
        <v>23</v>
      </c>
      <c r="C486" s="24">
        <v>15000.0</v>
      </c>
      <c r="D486" s="92">
        <v>0.1</v>
      </c>
      <c r="E486" s="67">
        <v>0.0</v>
      </c>
      <c r="F486" s="34">
        <f t="shared" ref="F486:F488" si="85">C486*D486+C486*D486*E486</f>
        <v>1500</v>
      </c>
      <c r="G486" s="74"/>
      <c r="H486" s="70"/>
      <c r="I486" s="38"/>
      <c r="J486" s="38"/>
    </row>
    <row r="487" ht="14.25" customHeight="1">
      <c r="A487" s="91" t="s">
        <v>451</v>
      </c>
      <c r="B487" s="92" t="s">
        <v>23</v>
      </c>
      <c r="C487" s="24">
        <v>68000.0</v>
      </c>
      <c r="D487" s="92">
        <v>0.2</v>
      </c>
      <c r="E487" s="67">
        <v>0.0</v>
      </c>
      <c r="F487" s="34">
        <f t="shared" si="85"/>
        <v>13600</v>
      </c>
      <c r="G487" s="74"/>
      <c r="H487" s="70"/>
      <c r="I487" s="38"/>
      <c r="J487" s="38"/>
    </row>
    <row r="488" ht="14.25" customHeight="1">
      <c r="A488" s="39" t="s">
        <v>39</v>
      </c>
      <c r="B488" s="40"/>
      <c r="C488" s="42">
        <v>6500.0</v>
      </c>
      <c r="D488" s="40">
        <v>1.0</v>
      </c>
      <c r="E488" s="67">
        <v>0.0</v>
      </c>
      <c r="F488" s="34">
        <f t="shared" si="85"/>
        <v>6500</v>
      </c>
      <c r="G488" s="74"/>
      <c r="H488" s="70"/>
      <c r="I488" s="38"/>
      <c r="J488" s="38"/>
    </row>
    <row r="489" ht="14.25" customHeight="1">
      <c r="A489" s="43" t="s">
        <v>51</v>
      </c>
      <c r="B489" s="44"/>
      <c r="C489" s="46"/>
      <c r="D489" s="44"/>
      <c r="E489" s="44"/>
      <c r="F489" s="48">
        <f>SUM(F486:F488)</f>
        <v>21600</v>
      </c>
      <c r="G489" s="79"/>
      <c r="H489" s="81">
        <v>105000.0</v>
      </c>
      <c r="I489" s="110">
        <f>F489/H489</f>
        <v>0.2057142857</v>
      </c>
      <c r="J489" s="54"/>
    </row>
    <row r="490" ht="14.25" customHeight="1">
      <c r="A490" s="57" t="s">
        <v>452</v>
      </c>
      <c r="B490" s="3"/>
      <c r="C490" s="3"/>
      <c r="D490" s="3"/>
      <c r="E490" s="3"/>
      <c r="F490" s="3"/>
      <c r="G490" s="58"/>
      <c r="H490" s="59"/>
      <c r="I490" s="63"/>
      <c r="J490" s="63"/>
    </row>
    <row r="491" ht="14.25" customHeight="1">
      <c r="A491" s="91" t="s">
        <v>18</v>
      </c>
      <c r="B491" s="92" t="s">
        <v>23</v>
      </c>
      <c r="C491" s="24">
        <v>15000.0</v>
      </c>
      <c r="D491" s="92">
        <v>0.1</v>
      </c>
      <c r="E491" s="67">
        <v>0.0</v>
      </c>
      <c r="F491" s="34">
        <f t="shared" ref="F491:F496" si="86">C491*D491+C491*D491*E491</f>
        <v>1500</v>
      </c>
      <c r="G491" s="74"/>
      <c r="H491" s="70"/>
      <c r="I491" s="38"/>
      <c r="J491" s="38"/>
    </row>
    <row r="492" ht="14.25" customHeight="1">
      <c r="A492" s="91" t="s">
        <v>451</v>
      </c>
      <c r="B492" s="92" t="s">
        <v>23</v>
      </c>
      <c r="C492" s="24">
        <v>75000.0</v>
      </c>
      <c r="D492" s="92">
        <v>0.2</v>
      </c>
      <c r="E492" s="67">
        <v>0.0</v>
      </c>
      <c r="F492" s="34">
        <f t="shared" si="86"/>
        <v>15000</v>
      </c>
      <c r="G492" s="74"/>
      <c r="H492" s="70"/>
      <c r="I492" s="38"/>
      <c r="J492" s="38"/>
    </row>
    <row r="493" ht="14.25" customHeight="1">
      <c r="A493" s="91" t="s">
        <v>197</v>
      </c>
      <c r="B493" s="92" t="s">
        <v>23</v>
      </c>
      <c r="C493" s="24">
        <v>21000.0</v>
      </c>
      <c r="D493" s="92">
        <v>0.05</v>
      </c>
      <c r="E493" s="67">
        <v>0.0</v>
      </c>
      <c r="F493" s="34">
        <f t="shared" si="86"/>
        <v>1050</v>
      </c>
      <c r="G493" s="74"/>
      <c r="H493" s="70"/>
      <c r="I493" s="38"/>
      <c r="J493" s="38"/>
    </row>
    <row r="494" ht="14.25" customHeight="1">
      <c r="A494" s="91" t="s">
        <v>78</v>
      </c>
      <c r="B494" s="92" t="s">
        <v>23</v>
      </c>
      <c r="C494" s="42">
        <v>15000.0</v>
      </c>
      <c r="D494" s="92">
        <v>0.05</v>
      </c>
      <c r="E494" s="67">
        <v>0.0</v>
      </c>
      <c r="F494" s="34">
        <f t="shared" si="86"/>
        <v>750</v>
      </c>
      <c r="G494" s="74"/>
      <c r="H494" s="70"/>
      <c r="I494" s="38"/>
      <c r="J494" s="38"/>
    </row>
    <row r="495" ht="14.25" customHeight="1">
      <c r="A495" s="91" t="s">
        <v>453</v>
      </c>
      <c r="B495" s="92" t="s">
        <v>8</v>
      </c>
      <c r="C495" s="42">
        <v>389000.0</v>
      </c>
      <c r="D495" s="92">
        <v>0.05</v>
      </c>
      <c r="E495" s="67">
        <v>0.0</v>
      </c>
      <c r="F495" s="34">
        <f t="shared" si="86"/>
        <v>19450</v>
      </c>
      <c r="G495" s="74"/>
      <c r="H495" s="70"/>
      <c r="I495" s="38"/>
      <c r="J495" s="38"/>
    </row>
    <row r="496" ht="14.25" customHeight="1">
      <c r="A496" s="39" t="s">
        <v>39</v>
      </c>
      <c r="B496" s="40"/>
      <c r="C496" s="42">
        <v>6500.0</v>
      </c>
      <c r="D496" s="40">
        <v>1.0</v>
      </c>
      <c r="E496" s="67">
        <v>0.0</v>
      </c>
      <c r="F496" s="34">
        <f t="shared" si="86"/>
        <v>6500</v>
      </c>
      <c r="G496" s="74"/>
      <c r="H496" s="70"/>
      <c r="I496" s="38"/>
      <c r="J496" s="38"/>
    </row>
    <row r="497" ht="14.25" customHeight="1">
      <c r="A497" s="43" t="s">
        <v>51</v>
      </c>
      <c r="B497" s="44"/>
      <c r="C497" s="46"/>
      <c r="D497" s="44"/>
      <c r="E497" s="44"/>
      <c r="F497" s="48">
        <f>SUM(F491:F496)</f>
        <v>44250</v>
      </c>
      <c r="G497" s="79"/>
      <c r="H497" s="81">
        <v>135000.0</v>
      </c>
      <c r="I497" s="110">
        <f>F497/H497</f>
        <v>0.3277777778</v>
      </c>
      <c r="J497" s="54"/>
    </row>
    <row r="498" ht="14.25" customHeight="1">
      <c r="A498" s="57" t="s">
        <v>454</v>
      </c>
      <c r="B498" s="3"/>
      <c r="C498" s="3"/>
      <c r="D498" s="3"/>
      <c r="E498" s="3"/>
      <c r="F498" s="3"/>
      <c r="G498" s="58"/>
      <c r="H498" s="59"/>
      <c r="I498" s="63"/>
      <c r="J498" s="63"/>
    </row>
    <row r="499" ht="14.25" customHeight="1">
      <c r="A499" s="91" t="s">
        <v>455</v>
      </c>
      <c r="B499" s="92" t="s">
        <v>23</v>
      </c>
      <c r="C499" s="24">
        <v>350000.0</v>
      </c>
      <c r="D499" s="92">
        <v>0.2</v>
      </c>
      <c r="E499" s="67">
        <v>0.0</v>
      </c>
      <c r="F499" s="34">
        <f t="shared" ref="F499:F502" si="87">C499*D499+C499*D499*E499</f>
        <v>70000</v>
      </c>
      <c r="G499" s="74"/>
      <c r="H499" s="70"/>
      <c r="I499" s="38"/>
      <c r="J499" s="38"/>
    </row>
    <row r="500" ht="14.25" customHeight="1">
      <c r="A500" s="91" t="s">
        <v>456</v>
      </c>
      <c r="B500" s="92" t="s">
        <v>23</v>
      </c>
      <c r="C500" s="24">
        <v>60000.0</v>
      </c>
      <c r="D500" s="92">
        <v>0.1</v>
      </c>
      <c r="E500" s="67">
        <v>0.0</v>
      </c>
      <c r="F500" s="34">
        <f t="shared" si="87"/>
        <v>6000</v>
      </c>
      <c r="G500" s="74"/>
      <c r="H500" s="70"/>
      <c r="I500" s="38"/>
      <c r="J500" s="38"/>
    </row>
    <row r="501" ht="14.25" customHeight="1">
      <c r="A501" s="91" t="s">
        <v>197</v>
      </c>
      <c r="B501" s="92" t="s">
        <v>23</v>
      </c>
      <c r="C501" s="24">
        <v>21000.0</v>
      </c>
      <c r="D501" s="92">
        <v>0.05</v>
      </c>
      <c r="E501" s="67">
        <v>0.0</v>
      </c>
      <c r="F501" s="34">
        <f t="shared" si="87"/>
        <v>1050</v>
      </c>
      <c r="G501" s="74"/>
      <c r="H501" s="70"/>
      <c r="I501" s="38"/>
      <c r="J501" s="38"/>
    </row>
    <row r="502" ht="14.25" customHeight="1">
      <c r="A502" s="39" t="s">
        <v>39</v>
      </c>
      <c r="B502" s="40"/>
      <c r="C502" s="42">
        <v>6500.0</v>
      </c>
      <c r="D502" s="40">
        <v>1.0</v>
      </c>
      <c r="E502" s="67">
        <v>0.0</v>
      </c>
      <c r="F502" s="34">
        <f t="shared" si="87"/>
        <v>6500</v>
      </c>
      <c r="G502" s="74"/>
      <c r="H502" s="70"/>
      <c r="I502" s="38"/>
      <c r="J502" s="38"/>
    </row>
    <row r="503" ht="14.25" customHeight="1">
      <c r="A503" s="43" t="s">
        <v>51</v>
      </c>
      <c r="B503" s="44"/>
      <c r="C503" s="46"/>
      <c r="D503" s="44"/>
      <c r="E503" s="44"/>
      <c r="F503" s="48">
        <f>SUM(F499:F502)</f>
        <v>83550</v>
      </c>
      <c r="G503" s="79"/>
      <c r="H503" s="81">
        <v>245000.0</v>
      </c>
      <c r="I503" s="110">
        <f>F503/H503</f>
        <v>0.3410204082</v>
      </c>
      <c r="J503" s="54"/>
    </row>
    <row r="504" ht="14.25" customHeight="1">
      <c r="A504" s="212" t="s">
        <v>457</v>
      </c>
      <c r="B504" s="8"/>
      <c r="C504" s="8"/>
      <c r="D504" s="8"/>
      <c r="E504" s="8"/>
      <c r="F504" s="8"/>
      <c r="G504" s="8"/>
      <c r="H504" s="8"/>
      <c r="I504" s="213"/>
    </row>
    <row r="505" ht="14.25" customHeight="1">
      <c r="A505" s="57" t="s">
        <v>458</v>
      </c>
      <c r="B505" s="3"/>
      <c r="C505" s="3"/>
      <c r="D505" s="3"/>
      <c r="E505" s="3"/>
      <c r="F505" s="3"/>
      <c r="G505" s="58"/>
      <c r="H505" s="59"/>
      <c r="I505" s="63"/>
      <c r="J505" s="63"/>
    </row>
    <row r="506" ht="14.25" customHeight="1">
      <c r="A506" s="91" t="s">
        <v>433</v>
      </c>
      <c r="B506" s="92" t="s">
        <v>23</v>
      </c>
      <c r="C506" s="24">
        <v>15000.0</v>
      </c>
      <c r="D506" s="92">
        <v>0.2</v>
      </c>
      <c r="E506" s="67">
        <v>0.0</v>
      </c>
      <c r="F506" s="34">
        <f t="shared" ref="F506:F509" si="88">C506*D506+C506*D506*E506</f>
        <v>3000</v>
      </c>
      <c r="G506" s="74"/>
      <c r="H506" s="70"/>
      <c r="I506" s="38"/>
      <c r="J506" s="38"/>
    </row>
    <row r="507" ht="14.25" customHeight="1">
      <c r="A507" s="91" t="s">
        <v>459</v>
      </c>
      <c r="B507" s="92" t="s">
        <v>23</v>
      </c>
      <c r="C507" s="24">
        <v>15000.0</v>
      </c>
      <c r="D507" s="92">
        <v>0.2</v>
      </c>
      <c r="E507" s="67">
        <v>0.0</v>
      </c>
      <c r="F507" s="34">
        <f t="shared" si="88"/>
        <v>3000</v>
      </c>
      <c r="G507" s="74"/>
      <c r="H507" s="70"/>
      <c r="I507" s="38"/>
      <c r="J507" s="38"/>
    </row>
    <row r="508" ht="14.25" customHeight="1">
      <c r="A508" s="91" t="s">
        <v>197</v>
      </c>
      <c r="B508" s="92" t="s">
        <v>23</v>
      </c>
      <c r="C508" s="24">
        <v>21000.0</v>
      </c>
      <c r="D508" s="92">
        <v>0.2</v>
      </c>
      <c r="E508" s="67">
        <v>0.0</v>
      </c>
      <c r="F508" s="34">
        <f t="shared" si="88"/>
        <v>4200</v>
      </c>
      <c r="G508" s="74"/>
      <c r="H508" s="70"/>
      <c r="I508" s="38"/>
      <c r="J508" s="38"/>
    </row>
    <row r="509" ht="14.25" customHeight="1">
      <c r="A509" s="39" t="s">
        <v>39</v>
      </c>
      <c r="B509" s="40"/>
      <c r="C509" s="42">
        <v>6500.0</v>
      </c>
      <c r="D509" s="40">
        <v>1.0</v>
      </c>
      <c r="E509" s="67">
        <v>0.0</v>
      </c>
      <c r="F509" s="34">
        <f t="shared" si="88"/>
        <v>6500</v>
      </c>
      <c r="G509" s="74"/>
      <c r="H509" s="70"/>
      <c r="I509" s="38"/>
      <c r="J509" s="38"/>
    </row>
    <row r="510" ht="14.25" customHeight="1">
      <c r="A510" s="43" t="s">
        <v>51</v>
      </c>
      <c r="B510" s="44"/>
      <c r="C510" s="46"/>
      <c r="D510" s="44"/>
      <c r="E510" s="44"/>
      <c r="F510" s="48">
        <f>SUM(F506:F509)</f>
        <v>16700</v>
      </c>
      <c r="G510" s="79"/>
      <c r="H510" s="81">
        <v>115000.0</v>
      </c>
      <c r="I510" s="110">
        <f>F510/H510</f>
        <v>0.1452173913</v>
      </c>
      <c r="J510" s="54"/>
    </row>
    <row r="511" ht="14.25" customHeight="1">
      <c r="A511" s="57" t="s">
        <v>460</v>
      </c>
      <c r="B511" s="3"/>
      <c r="C511" s="3"/>
      <c r="D511" s="3"/>
      <c r="E511" s="3"/>
      <c r="F511" s="3"/>
      <c r="G511" s="58"/>
      <c r="H511" s="59"/>
      <c r="I511" s="63"/>
      <c r="J511" s="63"/>
    </row>
    <row r="512" ht="14.25" customHeight="1">
      <c r="A512" s="91" t="s">
        <v>195</v>
      </c>
      <c r="B512" s="92" t="s">
        <v>23</v>
      </c>
      <c r="C512" s="24">
        <v>150000.0</v>
      </c>
      <c r="D512" s="92">
        <v>0.15</v>
      </c>
      <c r="E512" s="67">
        <v>0.0</v>
      </c>
      <c r="F512" s="34">
        <f t="shared" ref="F512:F514" si="89">C512*D512+C512*D512*E512</f>
        <v>22500</v>
      </c>
      <c r="G512" s="74"/>
      <c r="H512" s="70"/>
      <c r="I512" s="38"/>
      <c r="J512" s="38"/>
    </row>
    <row r="513" ht="14.25" customHeight="1">
      <c r="A513" s="91" t="s">
        <v>461</v>
      </c>
      <c r="B513" s="92" t="s">
        <v>23</v>
      </c>
      <c r="C513" s="24">
        <v>32000.0</v>
      </c>
      <c r="D513" s="92">
        <v>0.4</v>
      </c>
      <c r="E513" s="67">
        <v>0.0</v>
      </c>
      <c r="F513" s="34">
        <f t="shared" si="89"/>
        <v>12800</v>
      </c>
      <c r="G513" s="74"/>
      <c r="H513" s="70"/>
      <c r="I513" s="38"/>
      <c r="J513" s="38"/>
    </row>
    <row r="514" ht="14.25" customHeight="1">
      <c r="A514" s="39" t="s">
        <v>39</v>
      </c>
      <c r="B514" s="40"/>
      <c r="C514" s="42">
        <v>6500.0</v>
      </c>
      <c r="D514" s="40">
        <v>1.0</v>
      </c>
      <c r="E514" s="67">
        <v>0.0</v>
      </c>
      <c r="F514" s="34">
        <f t="shared" si="89"/>
        <v>6500</v>
      </c>
      <c r="G514" s="74"/>
      <c r="H514" s="70"/>
      <c r="I514" s="38"/>
      <c r="J514" s="38"/>
    </row>
    <row r="515" ht="14.25" customHeight="1">
      <c r="A515" s="43" t="s">
        <v>51</v>
      </c>
      <c r="B515" s="44"/>
      <c r="C515" s="46"/>
      <c r="D515" s="44"/>
      <c r="E515" s="44"/>
      <c r="F515" s="48">
        <f>SUM(F512:F514)</f>
        <v>41800</v>
      </c>
      <c r="G515" s="79"/>
      <c r="H515" s="81">
        <v>155000.0</v>
      </c>
      <c r="I515" s="110">
        <f>F515/H515</f>
        <v>0.2696774194</v>
      </c>
      <c r="J515" s="54"/>
    </row>
    <row r="516" ht="14.25" customHeight="1">
      <c r="A516" s="57" t="s">
        <v>462</v>
      </c>
      <c r="B516" s="3"/>
      <c r="C516" s="3"/>
      <c r="D516" s="3"/>
      <c r="E516" s="3"/>
      <c r="F516" s="3"/>
      <c r="G516" s="58"/>
      <c r="H516" s="59"/>
      <c r="I516" s="63"/>
      <c r="J516" s="63"/>
    </row>
    <row r="517" ht="14.25" customHeight="1">
      <c r="A517" s="91" t="s">
        <v>463</v>
      </c>
      <c r="B517" s="92" t="s">
        <v>23</v>
      </c>
      <c r="C517" s="24">
        <v>275000.0</v>
      </c>
      <c r="D517" s="92">
        <v>0.3</v>
      </c>
      <c r="E517" s="67">
        <v>0.0</v>
      </c>
      <c r="F517" s="34">
        <f t="shared" ref="F517:F518" si="90">C517*D517+C517*D517*E517</f>
        <v>82500</v>
      </c>
      <c r="G517" s="74"/>
      <c r="H517" s="70"/>
      <c r="I517" s="38"/>
      <c r="J517" s="38"/>
    </row>
    <row r="518" ht="14.25" customHeight="1">
      <c r="A518" s="39" t="s">
        <v>39</v>
      </c>
      <c r="B518" s="40"/>
      <c r="C518" s="42">
        <v>6500.0</v>
      </c>
      <c r="D518" s="40">
        <v>1.0</v>
      </c>
      <c r="E518" s="67">
        <v>0.0</v>
      </c>
      <c r="F518" s="34">
        <f t="shared" si="90"/>
        <v>6500</v>
      </c>
      <c r="G518" s="74"/>
      <c r="H518" s="70"/>
      <c r="I518" s="38"/>
      <c r="J518" s="38"/>
    </row>
    <row r="519" ht="14.25" customHeight="1">
      <c r="A519" s="43" t="s">
        <v>51</v>
      </c>
      <c r="B519" s="44"/>
      <c r="C519" s="46"/>
      <c r="D519" s="44"/>
      <c r="E519" s="44"/>
      <c r="F519" s="48">
        <f>SUM(F517:F518)</f>
        <v>89000</v>
      </c>
      <c r="G519" s="79"/>
      <c r="H519" s="81">
        <v>255000.0</v>
      </c>
      <c r="I519" s="110">
        <f>F519/H519</f>
        <v>0.3490196078</v>
      </c>
      <c r="J519" s="54"/>
    </row>
    <row r="520" ht="14.25" customHeight="1">
      <c r="A520" s="57" t="s">
        <v>464</v>
      </c>
      <c r="B520" s="3"/>
      <c r="C520" s="3"/>
      <c r="D520" s="3"/>
      <c r="E520" s="3"/>
      <c r="F520" s="3"/>
      <c r="G520" s="58"/>
      <c r="H520" s="59"/>
      <c r="I520" s="63"/>
      <c r="J520" s="63"/>
    </row>
    <row r="521" ht="14.25" customHeight="1">
      <c r="A521" s="91" t="s">
        <v>48</v>
      </c>
      <c r="B521" s="92" t="s">
        <v>8</v>
      </c>
      <c r="C521" s="24">
        <v>115000.0</v>
      </c>
      <c r="D521" s="92">
        <v>0.2</v>
      </c>
      <c r="E521" s="67">
        <v>0.0</v>
      </c>
      <c r="F521" s="34">
        <f t="shared" ref="F521:F523" si="91">C521*D521+C521*D521*E521</f>
        <v>23000</v>
      </c>
      <c r="G521" s="74"/>
      <c r="H521" s="70"/>
      <c r="I521" s="38"/>
      <c r="J521" s="38"/>
    </row>
    <row r="522" ht="14.25" customHeight="1">
      <c r="A522" s="91" t="s">
        <v>465</v>
      </c>
      <c r="B522" s="92" t="s">
        <v>74</v>
      </c>
      <c r="C522" s="24">
        <v>2000.0</v>
      </c>
      <c r="D522" s="92">
        <v>3.0</v>
      </c>
      <c r="E522" s="67">
        <v>0.0</v>
      </c>
      <c r="F522" s="34">
        <f t="shared" si="91"/>
        <v>6000</v>
      </c>
      <c r="G522" s="74"/>
      <c r="H522" s="70"/>
      <c r="I522" s="38"/>
      <c r="J522" s="38"/>
    </row>
    <row r="523" ht="14.25" customHeight="1">
      <c r="A523" s="39" t="s">
        <v>39</v>
      </c>
      <c r="B523" s="40"/>
      <c r="C523" s="42">
        <v>10000.0</v>
      </c>
      <c r="D523" s="40">
        <v>1.0</v>
      </c>
      <c r="E523" s="67">
        <v>0.0</v>
      </c>
      <c r="F523" s="34">
        <f t="shared" si="91"/>
        <v>10000</v>
      </c>
      <c r="G523" s="74"/>
      <c r="H523" s="70"/>
      <c r="I523" s="38"/>
      <c r="J523" s="38"/>
    </row>
    <row r="524" ht="14.25" customHeight="1">
      <c r="A524" s="43" t="s">
        <v>51</v>
      </c>
      <c r="B524" s="44"/>
      <c r="C524" s="46"/>
      <c r="D524" s="44"/>
      <c r="E524" s="44"/>
      <c r="F524" s="48">
        <f>SUM(F521:F523)</f>
        <v>39000</v>
      </c>
      <c r="G524" s="79"/>
      <c r="H524" s="81">
        <v>155000.0</v>
      </c>
      <c r="I524" s="110">
        <f>F524/H524</f>
        <v>0.2516129032</v>
      </c>
      <c r="J524" s="54"/>
    </row>
    <row r="525" ht="14.25" customHeight="1">
      <c r="A525" s="212" t="s">
        <v>466</v>
      </c>
      <c r="B525" s="8"/>
      <c r="C525" s="8"/>
      <c r="D525" s="8"/>
      <c r="E525" s="8"/>
      <c r="F525" s="8"/>
      <c r="G525" s="8"/>
      <c r="H525" s="8"/>
      <c r="I525" s="213"/>
    </row>
    <row r="526" ht="14.25" customHeight="1">
      <c r="A526" s="57" t="s">
        <v>467</v>
      </c>
      <c r="B526" s="3"/>
      <c r="C526" s="3"/>
      <c r="D526" s="3"/>
      <c r="E526" s="3"/>
      <c r="F526" s="3"/>
      <c r="G526" s="58"/>
      <c r="H526" s="59"/>
      <c r="I526" s="63"/>
      <c r="J526" s="63"/>
    </row>
    <row r="527" ht="14.25" customHeight="1">
      <c r="A527" s="39" t="s">
        <v>468</v>
      </c>
      <c r="B527" s="40" t="s">
        <v>8</v>
      </c>
      <c r="C527" s="42">
        <v>215000.0</v>
      </c>
      <c r="D527" s="40">
        <v>0.1</v>
      </c>
      <c r="E527" s="67">
        <v>0.0</v>
      </c>
      <c r="F527" s="34">
        <f>C527*D527+C527*D527*E527</f>
        <v>21500</v>
      </c>
      <c r="G527" s="74"/>
      <c r="H527" s="70"/>
      <c r="I527" s="38"/>
      <c r="J527" s="38"/>
    </row>
    <row r="528" ht="14.25" customHeight="1">
      <c r="A528" s="43" t="s">
        <v>51</v>
      </c>
      <c r="B528" s="44"/>
      <c r="C528" s="46"/>
      <c r="D528" s="44"/>
      <c r="E528" s="44"/>
      <c r="F528" s="48">
        <f>SUM(F527)</f>
        <v>21500</v>
      </c>
      <c r="G528" s="79"/>
      <c r="H528" s="81">
        <v>65000.0</v>
      </c>
      <c r="I528" s="110">
        <f>F528/H528</f>
        <v>0.3307692308</v>
      </c>
      <c r="J528" s="54"/>
    </row>
    <row r="529" ht="14.25" customHeight="1">
      <c r="A529" s="57" t="s">
        <v>469</v>
      </c>
      <c r="B529" s="3"/>
      <c r="C529" s="3"/>
      <c r="D529" s="3"/>
      <c r="E529" s="3"/>
      <c r="F529" s="3"/>
      <c r="G529" s="58"/>
      <c r="H529" s="59"/>
      <c r="I529" s="63"/>
      <c r="J529" s="63"/>
    </row>
    <row r="530" ht="14.25" customHeight="1">
      <c r="A530" s="39" t="s">
        <v>470</v>
      </c>
      <c r="B530" s="40" t="s">
        <v>8</v>
      </c>
      <c r="C530" s="42">
        <v>215000.0</v>
      </c>
      <c r="D530" s="40">
        <v>0.1</v>
      </c>
      <c r="E530" s="67">
        <v>0.0</v>
      </c>
      <c r="F530" s="34">
        <f>C530*D530+C530*D530*E530</f>
        <v>21500</v>
      </c>
      <c r="G530" s="74"/>
      <c r="H530" s="70"/>
      <c r="I530" s="38"/>
      <c r="J530" s="38"/>
    </row>
    <row r="531" ht="14.25" customHeight="1">
      <c r="A531" s="43" t="s">
        <v>51</v>
      </c>
      <c r="B531" s="44"/>
      <c r="C531" s="46"/>
      <c r="D531" s="44"/>
      <c r="E531" s="44"/>
      <c r="F531" s="48">
        <f>SUM(F530)</f>
        <v>21500</v>
      </c>
      <c r="G531" s="79"/>
      <c r="H531" s="81">
        <v>65000.0</v>
      </c>
      <c r="I531" s="110">
        <f>F531/H531</f>
        <v>0.3307692308</v>
      </c>
      <c r="J531" s="54"/>
    </row>
    <row r="532" ht="14.25" customHeight="1">
      <c r="A532" s="57" t="s">
        <v>326</v>
      </c>
      <c r="B532" s="3"/>
      <c r="C532" s="3"/>
      <c r="D532" s="3"/>
      <c r="E532" s="3"/>
      <c r="F532" s="3"/>
      <c r="G532" s="58"/>
      <c r="H532" s="214"/>
      <c r="I532" s="63"/>
      <c r="J532" s="63"/>
    </row>
    <row r="533" ht="14.25" customHeight="1">
      <c r="A533" s="91" t="s">
        <v>328</v>
      </c>
      <c r="B533" s="92" t="s">
        <v>329</v>
      </c>
      <c r="C533" s="24">
        <v>6000.0</v>
      </c>
      <c r="D533" s="215">
        <v>1.0</v>
      </c>
      <c r="E533" s="67">
        <v>0.0</v>
      </c>
      <c r="F533" s="34">
        <f t="shared" ref="F533:F534" si="92">C533*D533+C533*D533*E533</f>
        <v>6000</v>
      </c>
      <c r="G533" s="74"/>
      <c r="H533" s="216"/>
      <c r="I533" s="38"/>
      <c r="J533" s="38"/>
    </row>
    <row r="534" ht="14.25" customHeight="1">
      <c r="A534" s="39" t="s">
        <v>471</v>
      </c>
      <c r="B534" s="40"/>
      <c r="C534" s="42">
        <v>5500.0</v>
      </c>
      <c r="D534" s="40">
        <v>1.0</v>
      </c>
      <c r="E534" s="67">
        <v>0.0</v>
      </c>
      <c r="F534" s="34">
        <f t="shared" si="92"/>
        <v>5500</v>
      </c>
      <c r="G534" s="74"/>
      <c r="H534" s="216"/>
      <c r="I534" s="38"/>
      <c r="J534" s="38"/>
    </row>
    <row r="535" ht="14.25" customHeight="1">
      <c r="A535" s="43" t="s">
        <v>51</v>
      </c>
      <c r="B535" s="44"/>
      <c r="C535" s="46"/>
      <c r="D535" s="44"/>
      <c r="E535" s="44"/>
      <c r="F535" s="48">
        <f>SUM(F533:F534)</f>
        <v>11500</v>
      </c>
      <c r="G535" s="79"/>
      <c r="H535" s="81">
        <v>45000.0</v>
      </c>
      <c r="I535" s="110">
        <f>F535/H535</f>
        <v>0.2555555556</v>
      </c>
      <c r="J535" s="54"/>
    </row>
    <row r="536" ht="14.25" customHeight="1">
      <c r="A536" s="57" t="s">
        <v>158</v>
      </c>
      <c r="B536" s="3"/>
      <c r="C536" s="3"/>
      <c r="D536" s="3"/>
      <c r="E536" s="3"/>
      <c r="F536" s="3"/>
      <c r="G536" s="58"/>
      <c r="H536" s="59"/>
      <c r="I536" s="63"/>
      <c r="J536" s="63"/>
    </row>
    <row r="537" ht="14.25" customHeight="1">
      <c r="A537" s="22" t="s">
        <v>276</v>
      </c>
      <c r="B537" s="23" t="s">
        <v>23</v>
      </c>
      <c r="C537" s="24">
        <v>19000.0</v>
      </c>
      <c r="D537" s="25">
        <v>0.01</v>
      </c>
      <c r="E537" s="67">
        <v>0.0</v>
      </c>
      <c r="F537" s="34">
        <f t="shared" ref="F537:F539" si="93">C537*D537+C537*D537*E537</f>
        <v>190</v>
      </c>
      <c r="G537" s="74"/>
      <c r="H537" s="70"/>
      <c r="I537" s="38"/>
      <c r="J537" s="38"/>
    </row>
    <row r="538" ht="14.25" customHeight="1">
      <c r="A538" s="22" t="s">
        <v>160</v>
      </c>
      <c r="B538" s="23" t="s">
        <v>23</v>
      </c>
      <c r="C538" s="24">
        <v>50000.0</v>
      </c>
      <c r="D538" s="25">
        <v>0.01</v>
      </c>
      <c r="E538" s="67">
        <v>0.0</v>
      </c>
      <c r="F538" s="34">
        <f t="shared" si="93"/>
        <v>500</v>
      </c>
      <c r="G538" s="74"/>
      <c r="H538" s="70"/>
      <c r="I538" s="38"/>
      <c r="J538" s="38"/>
    </row>
    <row r="539" ht="14.25" customHeight="1">
      <c r="A539" s="39" t="s">
        <v>39</v>
      </c>
      <c r="B539" s="40"/>
      <c r="C539" s="42">
        <v>5500.0</v>
      </c>
      <c r="D539" s="40">
        <v>1.0</v>
      </c>
      <c r="E539" s="67">
        <v>0.0</v>
      </c>
      <c r="F539" s="34">
        <f t="shared" si="93"/>
        <v>5500</v>
      </c>
      <c r="G539" s="74"/>
      <c r="H539" s="70"/>
      <c r="I539" s="38"/>
      <c r="J539" s="38"/>
    </row>
    <row r="540" ht="14.25" customHeight="1">
      <c r="A540" s="43" t="s">
        <v>51</v>
      </c>
      <c r="B540" s="44"/>
      <c r="C540" s="46"/>
      <c r="D540" s="44"/>
      <c r="E540" s="44"/>
      <c r="F540" s="48">
        <f>SUM(F537,F538:F539)</f>
        <v>6190</v>
      </c>
      <c r="G540" s="79"/>
      <c r="H540" s="81">
        <v>35000.0</v>
      </c>
      <c r="I540" s="110">
        <f>F540/H540</f>
        <v>0.1768571429</v>
      </c>
      <c r="J540" s="54"/>
    </row>
    <row r="541" ht="14.25" customHeight="1">
      <c r="A541" s="57" t="s">
        <v>472</v>
      </c>
      <c r="B541" s="3"/>
      <c r="C541" s="3"/>
      <c r="D541" s="3"/>
      <c r="E541" s="3"/>
      <c r="F541" s="3"/>
      <c r="G541" s="58"/>
      <c r="H541" s="59"/>
      <c r="I541" s="63"/>
      <c r="J541" s="63"/>
    </row>
    <row r="542" ht="14.25" customHeight="1">
      <c r="A542" s="22" t="s">
        <v>160</v>
      </c>
      <c r="B542" s="23" t="s">
        <v>23</v>
      </c>
      <c r="C542" s="24">
        <v>50000.0</v>
      </c>
      <c r="D542" s="25">
        <v>0.01</v>
      </c>
      <c r="E542" s="67">
        <v>0.0</v>
      </c>
      <c r="F542" s="34">
        <f t="shared" ref="F542:F545" si="94">C542*D542+C542*D542*E542</f>
        <v>500</v>
      </c>
      <c r="G542" s="74"/>
      <c r="H542" s="70"/>
      <c r="I542" s="38"/>
      <c r="J542" s="38"/>
    </row>
    <row r="543" ht="14.25" customHeight="1">
      <c r="A543" s="22" t="s">
        <v>276</v>
      </c>
      <c r="B543" s="23" t="s">
        <v>23</v>
      </c>
      <c r="C543" s="24">
        <v>19057.0</v>
      </c>
      <c r="D543" s="25">
        <v>0.01</v>
      </c>
      <c r="E543" s="67">
        <v>0.0</v>
      </c>
      <c r="F543" s="34">
        <f t="shared" si="94"/>
        <v>190.57</v>
      </c>
      <c r="G543" s="74"/>
      <c r="H543" s="70"/>
      <c r="I543" s="38"/>
      <c r="J543" s="38"/>
    </row>
    <row r="544" ht="14.25" customHeight="1">
      <c r="A544" s="22" t="s">
        <v>473</v>
      </c>
      <c r="B544" s="23" t="s">
        <v>8</v>
      </c>
      <c r="C544" s="24">
        <v>175000.0</v>
      </c>
      <c r="D544" s="25">
        <v>0.02</v>
      </c>
      <c r="E544" s="67">
        <v>0.0</v>
      </c>
      <c r="F544" s="34">
        <f t="shared" si="94"/>
        <v>3500</v>
      </c>
      <c r="G544" s="74"/>
      <c r="H544" s="70"/>
      <c r="I544" s="38"/>
      <c r="J544" s="38"/>
    </row>
    <row r="545" ht="14.25" customHeight="1">
      <c r="A545" s="39" t="s">
        <v>39</v>
      </c>
      <c r="B545" s="40"/>
      <c r="C545" s="42">
        <v>5500.0</v>
      </c>
      <c r="D545" s="40">
        <v>1.0</v>
      </c>
      <c r="E545" s="67">
        <v>0.0</v>
      </c>
      <c r="F545" s="34">
        <f t="shared" si="94"/>
        <v>5500</v>
      </c>
      <c r="G545" s="74"/>
      <c r="H545" s="70"/>
      <c r="I545" s="38"/>
      <c r="J545" s="38"/>
    </row>
    <row r="546" ht="14.25" customHeight="1">
      <c r="A546" s="43" t="s">
        <v>51</v>
      </c>
      <c r="B546" s="44"/>
      <c r="C546" s="46"/>
      <c r="D546" s="44"/>
      <c r="E546" s="44"/>
      <c r="F546" s="48">
        <f>SUM(F542:F545)</f>
        <v>9690.57</v>
      </c>
      <c r="G546" s="79"/>
      <c r="H546" s="81">
        <v>35000.0</v>
      </c>
      <c r="I546" s="110">
        <f>F546/H546</f>
        <v>0.2768734286</v>
      </c>
      <c r="J546" s="54"/>
    </row>
    <row r="547" ht="14.25" customHeight="1">
      <c r="A547" s="57" t="s">
        <v>474</v>
      </c>
      <c r="B547" s="3"/>
      <c r="C547" s="3"/>
      <c r="D547" s="3"/>
      <c r="E547" s="3"/>
      <c r="F547" s="3"/>
      <c r="G547" s="58"/>
      <c r="H547" s="59"/>
      <c r="I547" s="63"/>
      <c r="J547" s="63"/>
    </row>
    <row r="548" ht="14.25" customHeight="1">
      <c r="A548" s="39" t="s">
        <v>470</v>
      </c>
      <c r="B548" s="40" t="s">
        <v>8</v>
      </c>
      <c r="C548" s="42">
        <v>215000.0</v>
      </c>
      <c r="D548" s="217">
        <v>0.05</v>
      </c>
      <c r="E548" s="67">
        <v>0.0</v>
      </c>
      <c r="F548" s="34">
        <f t="shared" ref="F548:F549" si="95">C548*D548+C548*D548*E548</f>
        <v>10750</v>
      </c>
      <c r="G548" s="74"/>
      <c r="H548" s="70"/>
      <c r="I548" s="38"/>
      <c r="J548" s="38"/>
    </row>
    <row r="549" ht="14.25" customHeight="1">
      <c r="A549" s="39" t="s">
        <v>39</v>
      </c>
      <c r="B549" s="40"/>
      <c r="C549" s="42">
        <v>5500.0</v>
      </c>
      <c r="D549" s="40">
        <v>1.0</v>
      </c>
      <c r="E549" s="67">
        <v>0.0</v>
      </c>
      <c r="F549" s="34">
        <f t="shared" si="95"/>
        <v>5500</v>
      </c>
      <c r="G549" s="74"/>
      <c r="H549" s="70"/>
      <c r="I549" s="38"/>
      <c r="J549" s="38"/>
    </row>
    <row r="550" ht="14.25" customHeight="1">
      <c r="A550" s="43" t="s">
        <v>51</v>
      </c>
      <c r="B550" s="44"/>
      <c r="C550" s="46"/>
      <c r="D550" s="44"/>
      <c r="E550" s="44"/>
      <c r="F550" s="48">
        <f>SUM(F548:F549)</f>
        <v>16250</v>
      </c>
      <c r="G550" s="79"/>
      <c r="H550" s="81">
        <v>75000.0</v>
      </c>
      <c r="I550" s="110">
        <f>F550/H550</f>
        <v>0.2166666667</v>
      </c>
      <c r="J550" s="54"/>
    </row>
    <row r="551" ht="14.25" customHeight="1">
      <c r="A551" s="57" t="s">
        <v>327</v>
      </c>
      <c r="B551" s="3"/>
      <c r="C551" s="3"/>
      <c r="D551" s="3"/>
      <c r="E551" s="3"/>
      <c r="F551" s="3"/>
      <c r="G551" s="58"/>
      <c r="H551" s="59"/>
      <c r="I551" s="218"/>
      <c r="J551" s="63"/>
    </row>
    <row r="552" ht="14.25" customHeight="1">
      <c r="A552" s="23" t="s">
        <v>209</v>
      </c>
      <c r="B552" s="23" t="s">
        <v>23</v>
      </c>
      <c r="C552" s="24">
        <v>23744.0</v>
      </c>
      <c r="D552" s="219">
        <v>0.3</v>
      </c>
      <c r="E552" s="67">
        <v>0.05</v>
      </c>
      <c r="F552" s="34">
        <f t="shared" ref="F552:F554" si="96">C552*D552+C552*D552*E552</f>
        <v>7479.36</v>
      </c>
      <c r="G552" s="74"/>
      <c r="H552" s="70"/>
      <c r="I552" s="38"/>
      <c r="J552" s="38"/>
    </row>
    <row r="553" ht="14.25" customHeight="1">
      <c r="A553" s="23" t="s">
        <v>280</v>
      </c>
      <c r="B553" s="23" t="s">
        <v>23</v>
      </c>
      <c r="C553" s="24">
        <v>20973.0</v>
      </c>
      <c r="D553" s="219">
        <v>0.3</v>
      </c>
      <c r="E553" s="67">
        <v>0.05</v>
      </c>
      <c r="F553" s="34">
        <f t="shared" si="96"/>
        <v>6606.495</v>
      </c>
      <c r="G553" s="74"/>
      <c r="H553" s="70"/>
      <c r="I553" s="38"/>
      <c r="J553" s="38"/>
    </row>
    <row r="554" ht="14.25" customHeight="1">
      <c r="A554" s="23" t="s">
        <v>331</v>
      </c>
      <c r="B554" s="23" t="s">
        <v>23</v>
      </c>
      <c r="C554" s="24">
        <v>15752.0</v>
      </c>
      <c r="D554" s="219">
        <v>0.3</v>
      </c>
      <c r="E554" s="67">
        <v>0.1</v>
      </c>
      <c r="F554" s="34">
        <f t="shared" si="96"/>
        <v>5198.16</v>
      </c>
      <c r="G554" s="74"/>
      <c r="H554" s="70"/>
      <c r="I554" s="38"/>
      <c r="J554" s="38"/>
    </row>
    <row r="555" ht="14.25" customHeight="1">
      <c r="A555" s="43" t="s">
        <v>51</v>
      </c>
      <c r="B555" s="44"/>
      <c r="C555" s="46"/>
      <c r="D555" s="220"/>
      <c r="E555" s="44"/>
      <c r="F555" s="48">
        <f>SUM(F552:F554)</f>
        <v>19284.015</v>
      </c>
      <c r="G555" s="79"/>
      <c r="H555" s="81">
        <v>65000.0</v>
      </c>
      <c r="I555" s="110">
        <f>F555/H555</f>
        <v>0.2966771538</v>
      </c>
      <c r="J555" s="54"/>
    </row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0">
    <mergeCell ref="A1:I1"/>
    <mergeCell ref="A2:J2"/>
    <mergeCell ref="A3:J3"/>
    <mergeCell ref="A4:F4"/>
    <mergeCell ref="G4:H4"/>
    <mergeCell ref="G7:H7"/>
    <mergeCell ref="A8:F8"/>
    <mergeCell ref="A15:F15"/>
    <mergeCell ref="A21:F21"/>
    <mergeCell ref="A29:F29"/>
    <mergeCell ref="A36:F36"/>
    <mergeCell ref="A43:F43"/>
    <mergeCell ref="A47:F47"/>
    <mergeCell ref="A51:F51"/>
    <mergeCell ref="A55:F55"/>
    <mergeCell ref="A59:F59"/>
    <mergeCell ref="A63:F63"/>
    <mergeCell ref="A71:F71"/>
    <mergeCell ref="A75:F75"/>
    <mergeCell ref="A83:F83"/>
    <mergeCell ref="A88:F88"/>
    <mergeCell ref="A93:F93"/>
    <mergeCell ref="A100:F100"/>
    <mergeCell ref="A111:F111"/>
    <mergeCell ref="A115:J115"/>
    <mergeCell ref="A116:F116"/>
    <mergeCell ref="A125:F125"/>
    <mergeCell ref="A132:F132"/>
    <mergeCell ref="A140:F140"/>
    <mergeCell ref="A144:F144"/>
    <mergeCell ref="A148:F148"/>
    <mergeCell ref="A152:F152"/>
    <mergeCell ref="A157:F157"/>
    <mergeCell ref="A165:F165"/>
    <mergeCell ref="A172:F172"/>
    <mergeCell ref="A177:F177"/>
    <mergeCell ref="A183:J183"/>
    <mergeCell ref="A184:F184"/>
    <mergeCell ref="A189:F189"/>
    <mergeCell ref="A194:F194"/>
    <mergeCell ref="A198:F198"/>
    <mergeCell ref="A203:F203"/>
    <mergeCell ref="A208:F208"/>
    <mergeCell ref="A213:F213"/>
    <mergeCell ref="A218:F218"/>
    <mergeCell ref="A222:F222"/>
    <mergeCell ref="A227:F227"/>
    <mergeCell ref="A232:F232"/>
    <mergeCell ref="A237:F237"/>
    <mergeCell ref="A464:F464"/>
    <mergeCell ref="A472:F472"/>
    <mergeCell ref="A478:F478"/>
    <mergeCell ref="A485:F485"/>
    <mergeCell ref="A490:F490"/>
    <mergeCell ref="A498:F498"/>
    <mergeCell ref="A504:I504"/>
    <mergeCell ref="A505:F505"/>
    <mergeCell ref="A511:F511"/>
    <mergeCell ref="A516:F516"/>
    <mergeCell ref="A520:F520"/>
    <mergeCell ref="A525:I525"/>
    <mergeCell ref="A526:F526"/>
    <mergeCell ref="A529:F529"/>
    <mergeCell ref="A242:F242"/>
    <mergeCell ref="A254:F254"/>
    <mergeCell ref="A266:F266"/>
    <mergeCell ref="A278:F278"/>
    <mergeCell ref="A287:F287"/>
    <mergeCell ref="A292:J292"/>
    <mergeCell ref="A293:F293"/>
    <mergeCell ref="A297:F297"/>
    <mergeCell ref="A301:F301"/>
    <mergeCell ref="A305:F305"/>
    <mergeCell ref="A311:F311"/>
    <mergeCell ref="A316:F316"/>
    <mergeCell ref="A320:F320"/>
    <mergeCell ref="A324:F324"/>
    <mergeCell ref="A329:F329"/>
    <mergeCell ref="A336:F336"/>
    <mergeCell ref="A342:F342"/>
    <mergeCell ref="A346:F346"/>
    <mergeCell ref="A350:F350"/>
    <mergeCell ref="A354:F354"/>
    <mergeCell ref="A360:F360"/>
    <mergeCell ref="A364:F364"/>
    <mergeCell ref="A368:F368"/>
    <mergeCell ref="A372:F372"/>
    <mergeCell ref="A377:J377"/>
    <mergeCell ref="A378:F378"/>
    <mergeCell ref="A385:F385"/>
    <mergeCell ref="A389:F389"/>
    <mergeCell ref="A395:F395"/>
    <mergeCell ref="A399:F399"/>
    <mergeCell ref="A403:F403"/>
    <mergeCell ref="A407:F407"/>
    <mergeCell ref="A411:F411"/>
    <mergeCell ref="A416:F416"/>
    <mergeCell ref="A426:F426"/>
    <mergeCell ref="A430:F430"/>
    <mergeCell ref="A434:F434"/>
    <mergeCell ref="A438:F438"/>
    <mergeCell ref="A442:I442"/>
    <mergeCell ref="A443:F443"/>
    <mergeCell ref="A448:F448"/>
    <mergeCell ref="A457:F457"/>
    <mergeCell ref="A532:F532"/>
    <mergeCell ref="A536:F536"/>
    <mergeCell ref="A541:F541"/>
    <mergeCell ref="A547:F547"/>
    <mergeCell ref="A551:F5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8.71"/>
    <col customWidth="1" min="3" max="4" width="14.57"/>
    <col customWidth="1" min="5" max="5" width="18.43"/>
    <col customWidth="1" min="6" max="6" width="18.86"/>
    <col customWidth="1" min="7" max="7" width="20.57"/>
    <col customWidth="1" min="8" max="8" width="8.71"/>
    <col customWidth="1" min="9" max="10" width="13.14"/>
    <col customWidth="1" min="11" max="11" width="19.57"/>
    <col customWidth="1" min="12" max="26" width="8.71"/>
  </cols>
  <sheetData>
    <row r="1" ht="14.25" customHeight="1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  <c r="K1" s="11"/>
    </row>
    <row r="2" ht="14.25" customHeight="1">
      <c r="A2" s="5" t="s">
        <v>9</v>
      </c>
      <c r="B2" s="8"/>
      <c r="C2" s="8"/>
      <c r="D2" s="8"/>
      <c r="E2" s="8"/>
      <c r="F2" s="8"/>
      <c r="G2" s="8"/>
      <c r="H2" s="8"/>
      <c r="I2" s="8"/>
      <c r="J2" s="8"/>
      <c r="K2" s="11"/>
    </row>
    <row r="3" ht="14.25" customHeight="1"/>
    <row r="4" ht="14.25" customHeight="1">
      <c r="A4" s="16" t="s">
        <v>12</v>
      </c>
      <c r="B4" s="18"/>
      <c r="C4" s="18"/>
      <c r="D4" s="18"/>
      <c r="E4" s="19"/>
      <c r="F4" s="27">
        <f>245000*2</f>
        <v>490000</v>
      </c>
      <c r="G4" s="28" t="s">
        <v>30</v>
      </c>
      <c r="H4" s="29"/>
      <c r="I4" s="29"/>
      <c r="J4" s="29"/>
      <c r="K4" s="30"/>
    </row>
    <row r="5" ht="14.25" customHeight="1">
      <c r="A5" s="31" t="s">
        <v>32</v>
      </c>
      <c r="B5" s="4"/>
      <c r="C5" s="4"/>
      <c r="D5" s="4"/>
      <c r="E5" s="4"/>
      <c r="F5" s="32"/>
      <c r="G5" s="33" t="s">
        <v>35</v>
      </c>
      <c r="H5" s="3"/>
      <c r="I5" s="3"/>
      <c r="J5" s="3"/>
      <c r="K5" s="3"/>
    </row>
    <row r="6" ht="14.25" customHeight="1">
      <c r="A6" s="22" t="s">
        <v>36</v>
      </c>
      <c r="B6" s="23" t="s">
        <v>23</v>
      </c>
      <c r="C6" s="35">
        <v>55000.0</v>
      </c>
      <c r="D6" s="23">
        <v>0.03</v>
      </c>
      <c r="E6" s="41">
        <f t="shared" ref="E6:E11" si="1">C6*D6</f>
        <v>1650</v>
      </c>
      <c r="F6" s="32"/>
      <c r="G6" s="22" t="s">
        <v>36</v>
      </c>
      <c r="H6" s="23" t="s">
        <v>23</v>
      </c>
      <c r="I6" s="35">
        <v>55000.0</v>
      </c>
      <c r="J6" s="23">
        <v>0.03</v>
      </c>
      <c r="K6" s="41">
        <f t="shared" ref="K6:K12" si="2">I6*J6</f>
        <v>1650</v>
      </c>
    </row>
    <row r="7" ht="14.25" customHeight="1">
      <c r="A7" s="22" t="s">
        <v>43</v>
      </c>
      <c r="B7" s="23" t="s">
        <v>23</v>
      </c>
      <c r="C7" s="35">
        <v>21000.0</v>
      </c>
      <c r="D7" s="23">
        <v>0.1</v>
      </c>
      <c r="E7" s="41">
        <f t="shared" si="1"/>
        <v>2100</v>
      </c>
      <c r="G7" s="22" t="s">
        <v>46</v>
      </c>
      <c r="H7" s="23" t="s">
        <v>23</v>
      </c>
      <c r="I7" s="35">
        <v>125000.0</v>
      </c>
      <c r="J7" s="23">
        <v>0.1</v>
      </c>
      <c r="K7" s="41">
        <f t="shared" si="2"/>
        <v>12500</v>
      </c>
    </row>
    <row r="8" ht="14.25" customHeight="1">
      <c r="A8" s="22" t="s">
        <v>48</v>
      </c>
      <c r="B8" s="23" t="s">
        <v>23</v>
      </c>
      <c r="C8" s="35">
        <v>120000.0</v>
      </c>
      <c r="D8" s="23">
        <v>0.4</v>
      </c>
      <c r="E8" s="41">
        <f t="shared" si="1"/>
        <v>48000</v>
      </c>
      <c r="G8" s="22" t="s">
        <v>52</v>
      </c>
      <c r="H8" s="23" t="s">
        <v>23</v>
      </c>
      <c r="I8" s="45">
        <v>0.0</v>
      </c>
      <c r="J8" s="23">
        <v>0.5</v>
      </c>
      <c r="K8" s="41">
        <f t="shared" si="2"/>
        <v>0</v>
      </c>
    </row>
    <row r="9" ht="14.25" customHeight="1">
      <c r="A9" s="22" t="s">
        <v>55</v>
      </c>
      <c r="B9" s="23" t="s">
        <v>23</v>
      </c>
      <c r="C9" s="35">
        <v>15000.0</v>
      </c>
      <c r="D9" s="23">
        <v>0.1</v>
      </c>
      <c r="E9" s="41">
        <f t="shared" si="1"/>
        <v>1500</v>
      </c>
      <c r="G9" s="22" t="s">
        <v>57</v>
      </c>
      <c r="H9" s="23" t="s">
        <v>23</v>
      </c>
      <c r="I9" s="35">
        <v>185000.0</v>
      </c>
      <c r="J9" s="23">
        <v>0.25</v>
      </c>
      <c r="K9" s="41">
        <f t="shared" si="2"/>
        <v>46250</v>
      </c>
    </row>
    <row r="10" ht="14.25" customHeight="1">
      <c r="A10" s="22" t="s">
        <v>29</v>
      </c>
      <c r="B10" s="23" t="s">
        <v>23</v>
      </c>
      <c r="C10" s="35">
        <v>30000.0</v>
      </c>
      <c r="D10" s="23">
        <v>0.2</v>
      </c>
      <c r="E10" s="41">
        <f t="shared" si="1"/>
        <v>6000</v>
      </c>
      <c r="F10" s="51"/>
      <c r="G10" s="22" t="s">
        <v>55</v>
      </c>
      <c r="H10" s="23" t="s">
        <v>23</v>
      </c>
      <c r="I10" s="35">
        <v>15000.0</v>
      </c>
      <c r="J10" s="23">
        <v>0.1</v>
      </c>
      <c r="K10" s="41">
        <f t="shared" si="2"/>
        <v>1500</v>
      </c>
    </row>
    <row r="11" ht="14.25" customHeight="1">
      <c r="A11" s="53" t="s">
        <v>39</v>
      </c>
      <c r="B11" s="55"/>
      <c r="C11" s="56">
        <v>6000.0</v>
      </c>
      <c r="D11" s="55">
        <v>1.0</v>
      </c>
      <c r="E11" s="41">
        <f t="shared" si="1"/>
        <v>6000</v>
      </c>
      <c r="G11" s="22" t="s">
        <v>67</v>
      </c>
      <c r="H11" s="23" t="s">
        <v>23</v>
      </c>
      <c r="I11" s="35">
        <v>21000.0</v>
      </c>
      <c r="J11" s="23">
        <v>0.1</v>
      </c>
      <c r="K11" s="41">
        <f t="shared" si="2"/>
        <v>2100</v>
      </c>
    </row>
    <row r="12" ht="14.25" customHeight="1">
      <c r="A12" s="60" t="s">
        <v>51</v>
      </c>
      <c r="B12" s="62"/>
      <c r="C12" s="64"/>
      <c r="D12" s="62"/>
      <c r="E12" s="66">
        <f>SUM(E6:E11)</f>
        <v>65250</v>
      </c>
      <c r="G12" s="53" t="s">
        <v>39</v>
      </c>
      <c r="H12" s="55"/>
      <c r="I12" s="56">
        <v>6000.0</v>
      </c>
      <c r="J12" s="55">
        <v>1.0</v>
      </c>
      <c r="K12" s="41">
        <f t="shared" si="2"/>
        <v>6000</v>
      </c>
    </row>
    <row r="13" ht="14.25" customHeight="1">
      <c r="G13" s="60" t="s">
        <v>51</v>
      </c>
      <c r="H13" s="62"/>
      <c r="I13" s="64"/>
      <c r="J13" s="62"/>
      <c r="K13" s="66">
        <f>SUM(K6:K12)</f>
        <v>70000</v>
      </c>
    </row>
    <row r="14" ht="14.25" customHeight="1"/>
    <row r="15" ht="14.25" customHeight="1">
      <c r="A15" s="69" t="s">
        <v>75</v>
      </c>
      <c r="B15" s="3"/>
      <c r="C15" s="3"/>
      <c r="D15" s="3"/>
      <c r="E15" s="14"/>
      <c r="G15" s="33" t="s">
        <v>76</v>
      </c>
      <c r="H15" s="3"/>
      <c r="I15" s="3"/>
      <c r="J15" s="3"/>
      <c r="K15" s="3"/>
    </row>
    <row r="16" ht="14.25" customHeight="1">
      <c r="A16" s="71" t="s">
        <v>79</v>
      </c>
      <c r="B16" s="72" t="s">
        <v>8</v>
      </c>
      <c r="C16" s="73">
        <v>150000.0</v>
      </c>
      <c r="D16" s="72">
        <v>0.3</v>
      </c>
      <c r="E16" s="75">
        <f>C16*D16</f>
        <v>45000</v>
      </c>
      <c r="G16" s="22" t="s">
        <v>84</v>
      </c>
      <c r="H16" s="23" t="s">
        <v>23</v>
      </c>
      <c r="I16" s="35">
        <v>125000.0</v>
      </c>
      <c r="J16" s="23">
        <v>0.3</v>
      </c>
      <c r="K16" s="41">
        <f>I16*J16</f>
        <v>37500</v>
      </c>
    </row>
    <row r="17" ht="14.25" customHeight="1">
      <c r="A17" s="71"/>
      <c r="B17" s="72"/>
      <c r="C17" s="73"/>
      <c r="D17" s="72"/>
      <c r="E17" s="75"/>
      <c r="G17" s="22"/>
      <c r="H17" s="23"/>
      <c r="I17" s="35"/>
      <c r="J17" s="23"/>
      <c r="K17" s="41"/>
    </row>
    <row r="18" ht="14.25" customHeight="1">
      <c r="A18" s="71"/>
      <c r="B18" s="72"/>
      <c r="C18" s="73"/>
      <c r="D18" s="72"/>
      <c r="E18" s="75"/>
      <c r="G18" s="53" t="s">
        <v>39</v>
      </c>
      <c r="H18" s="55"/>
      <c r="I18" s="56">
        <v>6000.0</v>
      </c>
      <c r="J18" s="55">
        <v>1.0</v>
      </c>
      <c r="K18" s="41">
        <f>I18*J18</f>
        <v>6000</v>
      </c>
    </row>
    <row r="19" ht="14.25" customHeight="1">
      <c r="A19" s="71"/>
      <c r="B19" s="72"/>
      <c r="C19" s="73"/>
      <c r="D19" s="72"/>
      <c r="E19" s="75"/>
      <c r="G19" s="60" t="s">
        <v>51</v>
      </c>
      <c r="H19" s="62"/>
      <c r="I19" s="64"/>
      <c r="J19" s="62"/>
      <c r="K19" s="66">
        <f>SUM(K16:K18)</f>
        <v>43500</v>
      </c>
    </row>
    <row r="20" ht="14.25" customHeight="1">
      <c r="A20" s="76" t="s">
        <v>39</v>
      </c>
      <c r="B20" s="77"/>
      <c r="C20" s="78">
        <v>6000.0</v>
      </c>
      <c r="D20" s="77">
        <v>1.0</v>
      </c>
      <c r="E20" s="75">
        <f>C20*D20</f>
        <v>6000</v>
      </c>
    </row>
    <row r="21" ht="14.25" customHeight="1">
      <c r="A21" s="80" t="s">
        <v>51</v>
      </c>
      <c r="B21" s="82"/>
      <c r="C21" s="83"/>
      <c r="D21" s="82"/>
      <c r="E21" s="84">
        <f>SUM(E16:E20)</f>
        <v>51000</v>
      </c>
    </row>
    <row r="22" ht="14.25" customHeight="1">
      <c r="A22" s="85"/>
      <c r="B22" s="85"/>
      <c r="C22" s="85"/>
      <c r="D22" s="85"/>
      <c r="E22" s="85"/>
    </row>
    <row r="23" ht="14.25" customHeight="1">
      <c r="A23" s="69" t="s">
        <v>103</v>
      </c>
      <c r="B23" s="3"/>
      <c r="C23" s="3"/>
      <c r="D23" s="3"/>
      <c r="E23" s="14"/>
      <c r="G23" s="69" t="s">
        <v>106</v>
      </c>
      <c r="H23" s="3"/>
      <c r="I23" s="3"/>
      <c r="J23" s="3"/>
      <c r="K23" s="14"/>
    </row>
    <row r="24" ht="14.25" customHeight="1">
      <c r="A24" s="89" t="s">
        <v>108</v>
      </c>
      <c r="B24" s="90" t="s">
        <v>23</v>
      </c>
      <c r="C24" s="73">
        <v>40000.0</v>
      </c>
      <c r="D24" s="90">
        <v>0.5</v>
      </c>
      <c r="E24" s="75">
        <f t="shared" ref="E24:E25" si="3">C24*D24</f>
        <v>20000</v>
      </c>
      <c r="G24" s="71" t="s">
        <v>111</v>
      </c>
      <c r="H24" s="72" t="s">
        <v>112</v>
      </c>
      <c r="I24" s="73">
        <v>4200.0</v>
      </c>
      <c r="J24" s="72">
        <v>2.0</v>
      </c>
      <c r="K24" s="75">
        <f t="shared" ref="K24:K25" si="4">I24*J24</f>
        <v>8400</v>
      </c>
    </row>
    <row r="25" ht="14.25" customHeight="1">
      <c r="A25" s="76" t="s">
        <v>39</v>
      </c>
      <c r="B25" s="77"/>
      <c r="C25" s="78">
        <v>6000.0</v>
      </c>
      <c r="D25" s="77">
        <v>1.0</v>
      </c>
      <c r="E25" s="75">
        <f t="shared" si="3"/>
        <v>6000</v>
      </c>
      <c r="G25" s="76" t="s">
        <v>39</v>
      </c>
      <c r="H25" s="77"/>
      <c r="I25" s="78">
        <v>3000.0</v>
      </c>
      <c r="J25" s="77">
        <v>1.0</v>
      </c>
      <c r="K25" s="75">
        <f t="shared" si="4"/>
        <v>3000</v>
      </c>
    </row>
    <row r="26" ht="14.25" customHeight="1">
      <c r="A26" s="80" t="s">
        <v>51</v>
      </c>
      <c r="B26" s="82"/>
      <c r="C26" s="83"/>
      <c r="D26" s="82"/>
      <c r="E26" s="84">
        <f>SUM(E24:E25)</f>
        <v>26000</v>
      </c>
      <c r="G26" s="80" t="s">
        <v>51</v>
      </c>
      <c r="H26" s="82"/>
      <c r="I26" s="83"/>
      <c r="J26" s="82"/>
      <c r="K26" s="84">
        <f>SUM(K24:K25)</f>
        <v>11400</v>
      </c>
    </row>
    <row r="27" ht="14.25" customHeight="1">
      <c r="A27" s="85"/>
      <c r="B27" s="85"/>
      <c r="C27" s="85"/>
      <c r="D27" s="85"/>
      <c r="E27" s="85"/>
    </row>
    <row r="28" ht="14.25" customHeight="1">
      <c r="A28" s="69" t="s">
        <v>120</v>
      </c>
      <c r="B28" s="3"/>
      <c r="C28" s="3"/>
      <c r="D28" s="3"/>
      <c r="E28" s="14"/>
      <c r="G28" s="33" t="s">
        <v>123</v>
      </c>
      <c r="H28" s="3"/>
      <c r="I28" s="3"/>
      <c r="J28" s="3"/>
      <c r="K28" s="3"/>
    </row>
    <row r="29" ht="14.25" customHeight="1">
      <c r="A29" s="96" t="s">
        <v>52</v>
      </c>
      <c r="B29" s="97" t="s">
        <v>23</v>
      </c>
      <c r="C29" s="73">
        <v>0.0</v>
      </c>
      <c r="D29" s="97">
        <v>0.0</v>
      </c>
      <c r="E29" s="75">
        <f t="shared" ref="E29:E31" si="5">C29*D29</f>
        <v>0</v>
      </c>
      <c r="G29" s="53" t="s">
        <v>127</v>
      </c>
      <c r="H29" s="101" t="s">
        <v>8</v>
      </c>
      <c r="I29" s="35">
        <v>95000.0</v>
      </c>
      <c r="J29" s="101">
        <v>0.1</v>
      </c>
      <c r="K29" s="41">
        <f t="shared" ref="K29:K31" si="6">I29*J29</f>
        <v>9500</v>
      </c>
    </row>
    <row r="30" ht="14.25" customHeight="1">
      <c r="A30" s="76" t="s">
        <v>133</v>
      </c>
      <c r="B30" s="77" t="s">
        <v>23</v>
      </c>
      <c r="C30" s="73">
        <v>120000.0</v>
      </c>
      <c r="D30" s="77">
        <v>0.3</v>
      </c>
      <c r="E30" s="75">
        <f t="shared" si="5"/>
        <v>36000</v>
      </c>
      <c r="G30" s="53" t="s">
        <v>138</v>
      </c>
      <c r="H30" s="55" t="s">
        <v>8</v>
      </c>
      <c r="I30" s="35">
        <v>7000.0</v>
      </c>
      <c r="J30" s="55">
        <v>0.3</v>
      </c>
      <c r="K30" s="41">
        <f t="shared" si="6"/>
        <v>2100</v>
      </c>
    </row>
    <row r="31" ht="14.25" customHeight="1">
      <c r="A31" s="76" t="s">
        <v>39</v>
      </c>
      <c r="B31" s="97"/>
      <c r="C31" s="102">
        <v>6000.0</v>
      </c>
      <c r="D31" s="97">
        <v>1.0</v>
      </c>
      <c r="E31" s="75">
        <f t="shared" si="5"/>
        <v>6000</v>
      </c>
      <c r="G31" s="53" t="s">
        <v>39</v>
      </c>
      <c r="H31" s="101"/>
      <c r="I31" s="103">
        <v>6000.0</v>
      </c>
      <c r="J31" s="101">
        <v>1.0</v>
      </c>
      <c r="K31" s="41">
        <f t="shared" si="6"/>
        <v>6000</v>
      </c>
    </row>
    <row r="32" ht="14.25" customHeight="1">
      <c r="A32" s="80" t="s">
        <v>51</v>
      </c>
      <c r="B32" s="104"/>
      <c r="C32" s="105"/>
      <c r="D32" s="104"/>
      <c r="E32" s="106">
        <f>SUM(E29:E31)</f>
        <v>42000</v>
      </c>
      <c r="G32" s="107" t="s">
        <v>143</v>
      </c>
      <c r="H32" s="62"/>
      <c r="I32" s="64"/>
      <c r="J32" s="62"/>
      <c r="K32" s="66">
        <f>SUM(K29:K31)</f>
        <v>17600</v>
      </c>
    </row>
    <row r="33" ht="14.25" customHeight="1">
      <c r="A33" s="85"/>
      <c r="B33" s="85"/>
      <c r="C33" s="85"/>
      <c r="D33" s="85"/>
      <c r="E33" s="85"/>
    </row>
    <row r="34" ht="14.25" customHeight="1">
      <c r="A34" s="69" t="s">
        <v>145</v>
      </c>
      <c r="B34" s="3"/>
      <c r="C34" s="3"/>
      <c r="D34" s="3"/>
      <c r="E34" s="14"/>
      <c r="G34" s="33" t="s">
        <v>145</v>
      </c>
      <c r="H34" s="3"/>
      <c r="I34" s="3"/>
      <c r="J34" s="3"/>
      <c r="K34" s="3"/>
    </row>
    <row r="35" ht="14.25" customHeight="1">
      <c r="A35" s="89" t="s">
        <v>146</v>
      </c>
      <c r="B35" s="90" t="s">
        <v>23</v>
      </c>
      <c r="C35" s="73">
        <v>22000.0</v>
      </c>
      <c r="D35" s="90">
        <v>0.3</v>
      </c>
      <c r="E35" s="75">
        <f t="shared" ref="E35:E36" si="7">C35*D35</f>
        <v>6600</v>
      </c>
      <c r="G35" s="108" t="s">
        <v>146</v>
      </c>
      <c r="H35" s="109" t="s">
        <v>23</v>
      </c>
      <c r="I35" s="35">
        <v>22000.0</v>
      </c>
      <c r="J35" s="109">
        <v>0.3</v>
      </c>
      <c r="K35" s="41">
        <f t="shared" ref="K35:K36" si="8">I35*J35</f>
        <v>6600</v>
      </c>
    </row>
    <row r="36" ht="14.25" customHeight="1">
      <c r="A36" s="76" t="s">
        <v>39</v>
      </c>
      <c r="B36" s="77"/>
      <c r="C36" s="78">
        <v>3000.0</v>
      </c>
      <c r="D36" s="77">
        <v>1.0</v>
      </c>
      <c r="E36" s="75">
        <f t="shared" si="7"/>
        <v>3000</v>
      </c>
      <c r="G36" s="53" t="s">
        <v>39</v>
      </c>
      <c r="H36" s="55"/>
      <c r="I36" s="56">
        <v>3000.0</v>
      </c>
      <c r="J36" s="55">
        <v>1.0</v>
      </c>
      <c r="K36" s="41">
        <f t="shared" si="8"/>
        <v>3000</v>
      </c>
    </row>
    <row r="37" ht="14.25" customHeight="1">
      <c r="A37" s="80" t="s">
        <v>51</v>
      </c>
      <c r="B37" s="82"/>
      <c r="C37" s="83"/>
      <c r="D37" s="82"/>
      <c r="E37" s="84">
        <f>SUM(E35:E36)</f>
        <v>9600</v>
      </c>
      <c r="G37" s="60" t="s">
        <v>51</v>
      </c>
      <c r="H37" s="62"/>
      <c r="I37" s="64"/>
      <c r="J37" s="62"/>
      <c r="K37" s="66">
        <f>SUM(K35:K36)</f>
        <v>9600</v>
      </c>
    </row>
    <row r="38" ht="14.25" customHeight="1"/>
    <row r="39" ht="14.25" customHeight="1">
      <c r="A39" s="33" t="s">
        <v>157</v>
      </c>
      <c r="B39" s="3"/>
      <c r="C39" s="3"/>
      <c r="D39" s="3"/>
      <c r="E39" s="3"/>
      <c r="G39" s="33" t="s">
        <v>158</v>
      </c>
      <c r="H39" s="3"/>
      <c r="I39" s="3"/>
      <c r="J39" s="3"/>
      <c r="K39" s="3"/>
    </row>
    <row r="40" ht="14.25" customHeight="1">
      <c r="A40" s="22" t="s">
        <v>160</v>
      </c>
      <c r="B40" s="23" t="s">
        <v>23</v>
      </c>
      <c r="C40" s="45">
        <v>45000.0</v>
      </c>
      <c r="D40" s="23">
        <v>0.02</v>
      </c>
      <c r="E40" s="41">
        <f t="shared" ref="E40:E41" si="9">C40*D40</f>
        <v>900</v>
      </c>
      <c r="G40" s="22"/>
      <c r="H40" s="23"/>
      <c r="I40" s="45"/>
      <c r="J40" s="23"/>
      <c r="K40" s="41"/>
    </row>
    <row r="41" ht="14.25" customHeight="1">
      <c r="A41" s="22" t="s">
        <v>162</v>
      </c>
      <c r="B41" s="23" t="s">
        <v>23</v>
      </c>
      <c r="C41" s="45">
        <v>180000.0</v>
      </c>
      <c r="D41" s="23">
        <v>0.03</v>
      </c>
      <c r="E41" s="41">
        <f t="shared" si="9"/>
        <v>5400</v>
      </c>
      <c r="G41" s="22" t="s">
        <v>165</v>
      </c>
      <c r="H41" s="23" t="s">
        <v>166</v>
      </c>
      <c r="I41" s="45">
        <v>1000.0</v>
      </c>
      <c r="J41" s="23">
        <v>1.0</v>
      </c>
      <c r="K41" s="41">
        <f t="shared" ref="K41:K44" si="10">I41*J41</f>
        <v>1000</v>
      </c>
    </row>
    <row r="42" ht="14.25" customHeight="1">
      <c r="A42" s="22"/>
      <c r="B42" s="23"/>
      <c r="C42" s="45"/>
      <c r="D42" s="23"/>
      <c r="E42" s="41"/>
      <c r="G42" s="22" t="s">
        <v>167</v>
      </c>
      <c r="H42" s="23" t="s">
        <v>23</v>
      </c>
      <c r="I42" s="45">
        <v>22000.0</v>
      </c>
      <c r="J42" s="23">
        <v>0.01</v>
      </c>
      <c r="K42" s="41">
        <f t="shared" si="10"/>
        <v>220</v>
      </c>
    </row>
    <row r="43" ht="14.25" customHeight="1">
      <c r="A43" s="53" t="s">
        <v>39</v>
      </c>
      <c r="B43" s="55"/>
      <c r="C43" s="56">
        <v>2000.0</v>
      </c>
      <c r="D43" s="55">
        <v>1.0</v>
      </c>
      <c r="E43" s="41">
        <f>C43*D43</f>
        <v>2000</v>
      </c>
      <c r="G43" s="22" t="s">
        <v>160</v>
      </c>
      <c r="H43" s="23" t="s">
        <v>23</v>
      </c>
      <c r="I43" s="45">
        <v>49900.0</v>
      </c>
      <c r="J43" s="23">
        <v>0.05</v>
      </c>
      <c r="K43" s="41">
        <f t="shared" si="10"/>
        <v>2495</v>
      </c>
    </row>
    <row r="44" ht="14.25" customHeight="1">
      <c r="A44" s="60" t="s">
        <v>51</v>
      </c>
      <c r="B44" s="62"/>
      <c r="C44" s="64"/>
      <c r="D44" s="62"/>
      <c r="E44" s="66">
        <f>SUM(E40:E43)</f>
        <v>8300</v>
      </c>
      <c r="G44" s="53" t="s">
        <v>39</v>
      </c>
      <c r="H44" s="55"/>
      <c r="I44" s="56">
        <v>2000.0</v>
      </c>
      <c r="J44" s="55">
        <v>1.0</v>
      </c>
      <c r="K44" s="41">
        <f t="shared" si="10"/>
        <v>2000</v>
      </c>
    </row>
    <row r="45" ht="14.25" customHeight="1">
      <c r="A45" s="60"/>
      <c r="B45" s="62"/>
      <c r="C45" s="64"/>
      <c r="D45" s="62"/>
      <c r="E45" s="66"/>
      <c r="G45" s="60" t="s">
        <v>51</v>
      </c>
      <c r="H45" s="62"/>
      <c r="I45" s="64"/>
      <c r="J45" s="62"/>
      <c r="K45" s="66">
        <f>SUM(K40:K44)</f>
        <v>5715</v>
      </c>
    </row>
    <row r="46" ht="14.25" customHeight="1">
      <c r="E46" s="112">
        <f>E12+E21+E26+E32+E37+E44</f>
        <v>202150</v>
      </c>
      <c r="K46" s="112">
        <f>K13+K19+K26+K32+K37+K45</f>
        <v>157815</v>
      </c>
    </row>
    <row r="47" ht="14.25" customHeight="1">
      <c r="A47" s="113" t="s">
        <v>183</v>
      </c>
      <c r="B47" s="114"/>
      <c r="C47" s="115"/>
      <c r="D47" s="114"/>
      <c r="E47" s="116">
        <f>(E44*2)+SUM(E37,E32,E26,E21,E12)</f>
        <v>210450</v>
      </c>
      <c r="F47" s="117"/>
      <c r="G47" s="113" t="s">
        <v>183</v>
      </c>
      <c r="H47" s="114"/>
      <c r="I47" s="115"/>
      <c r="J47" s="114"/>
      <c r="K47" s="118">
        <f>(K44*2)+SUM(K37,K32,K26,K19,K13)</f>
        <v>156100</v>
      </c>
    </row>
    <row r="48" ht="14.25" customHeight="1">
      <c r="A48" s="113"/>
      <c r="B48" s="114"/>
      <c r="C48" s="115"/>
      <c r="D48" s="114"/>
      <c r="E48" s="116"/>
      <c r="F48" s="117"/>
      <c r="G48" s="113"/>
      <c r="H48" s="114"/>
      <c r="I48" s="115"/>
      <c r="J48" s="114"/>
      <c r="K48" s="118"/>
    </row>
    <row r="49" ht="14.25" customHeight="1">
      <c r="A49" s="119" t="s">
        <v>188</v>
      </c>
      <c r="B49" s="3"/>
      <c r="C49" s="3"/>
      <c r="D49" s="6"/>
      <c r="E49" s="120">
        <f>E47/F4</f>
        <v>0.4294897959</v>
      </c>
      <c r="F49" s="121"/>
      <c r="G49" s="119" t="s">
        <v>188</v>
      </c>
      <c r="H49" s="3"/>
      <c r="I49" s="3"/>
      <c r="J49" s="6"/>
      <c r="K49" s="120">
        <f>K47/F4</f>
        <v>0.3185714286</v>
      </c>
    </row>
    <row r="50" ht="14.25" customHeight="1">
      <c r="A50" s="122" t="s">
        <v>190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4"/>
    </row>
    <row r="51" ht="14.25" customHeight="1"/>
    <row r="52" ht="14.25" customHeight="1">
      <c r="A52" s="16" t="s">
        <v>12</v>
      </c>
      <c r="B52" s="18"/>
      <c r="C52" s="18"/>
      <c r="D52" s="18"/>
      <c r="E52" s="19"/>
      <c r="F52" s="85"/>
      <c r="G52" s="28" t="s">
        <v>192</v>
      </c>
      <c r="H52" s="29"/>
      <c r="I52" s="29"/>
      <c r="J52" s="29"/>
      <c r="K52" s="30"/>
    </row>
    <row r="53" ht="14.25" customHeight="1"/>
    <row r="54" ht="14.25" customHeight="1">
      <c r="A54" s="33" t="s">
        <v>193</v>
      </c>
      <c r="B54" s="3"/>
      <c r="C54" s="3"/>
      <c r="D54" s="3"/>
      <c r="E54" s="3"/>
      <c r="G54" s="33" t="s">
        <v>194</v>
      </c>
      <c r="H54" s="3"/>
      <c r="I54" s="3"/>
      <c r="J54" s="3"/>
      <c r="K54" s="3"/>
    </row>
    <row r="55" ht="14.25" customHeight="1">
      <c r="A55" s="22" t="s">
        <v>67</v>
      </c>
      <c r="B55" s="23" t="s">
        <v>23</v>
      </c>
      <c r="C55" s="35">
        <v>21000.0</v>
      </c>
      <c r="D55" s="23">
        <v>0.1</v>
      </c>
      <c r="E55" s="41">
        <f t="shared" ref="E55:E61" si="11">C55*D55</f>
        <v>2100</v>
      </c>
      <c r="G55" s="108" t="s">
        <v>195</v>
      </c>
      <c r="H55" s="109" t="s">
        <v>23</v>
      </c>
      <c r="I55" s="35">
        <v>150000.0</v>
      </c>
      <c r="J55" s="109">
        <v>0.15</v>
      </c>
      <c r="K55" s="41">
        <f t="shared" ref="K55:K57" si="12">I55*J55</f>
        <v>22500</v>
      </c>
    </row>
    <row r="56" ht="14.25" customHeight="1">
      <c r="A56" s="22" t="s">
        <v>197</v>
      </c>
      <c r="B56" s="23" t="s">
        <v>23</v>
      </c>
      <c r="C56" s="35">
        <v>20000.0</v>
      </c>
      <c r="D56" s="23">
        <v>0.05</v>
      </c>
      <c r="E56" s="41">
        <f t="shared" si="11"/>
        <v>1000</v>
      </c>
      <c r="G56" s="108" t="s">
        <v>199</v>
      </c>
      <c r="H56" s="109" t="s">
        <v>23</v>
      </c>
      <c r="I56" s="35">
        <v>7000.0</v>
      </c>
      <c r="J56" s="109">
        <v>0.75</v>
      </c>
      <c r="K56" s="41">
        <f t="shared" si="12"/>
        <v>5250</v>
      </c>
    </row>
    <row r="57" ht="14.25" customHeight="1">
      <c r="A57" s="22" t="s">
        <v>200</v>
      </c>
      <c r="B57" s="23" t="s">
        <v>23</v>
      </c>
      <c r="C57" s="35">
        <v>95000.0</v>
      </c>
      <c r="D57" s="23">
        <v>0.1</v>
      </c>
      <c r="E57" s="41">
        <f t="shared" si="11"/>
        <v>9500</v>
      </c>
      <c r="G57" s="53" t="s">
        <v>39</v>
      </c>
      <c r="H57" s="55"/>
      <c r="I57" s="56">
        <v>6000.0</v>
      </c>
      <c r="J57" s="55">
        <v>1.0</v>
      </c>
      <c r="K57" s="41">
        <f t="shared" si="12"/>
        <v>6000</v>
      </c>
    </row>
    <row r="58" ht="14.25" customHeight="1">
      <c r="A58" s="22" t="s">
        <v>201</v>
      </c>
      <c r="B58" s="23" t="s">
        <v>23</v>
      </c>
      <c r="C58" s="35">
        <v>55000.0</v>
      </c>
      <c r="D58" s="23">
        <v>0.02</v>
      </c>
      <c r="E58" s="41">
        <f t="shared" si="11"/>
        <v>1100</v>
      </c>
      <c r="G58" s="60" t="s">
        <v>51</v>
      </c>
      <c r="H58" s="125"/>
      <c r="I58" s="126"/>
      <c r="J58" s="125"/>
      <c r="K58" s="127">
        <f>SUM(K55:K57)</f>
        <v>33750</v>
      </c>
    </row>
    <row r="59" ht="14.25" customHeight="1">
      <c r="A59" s="22" t="s">
        <v>36</v>
      </c>
      <c r="B59" s="23" t="s">
        <v>23</v>
      </c>
      <c r="C59" s="35">
        <v>55000.0</v>
      </c>
      <c r="D59" s="23">
        <v>0.03</v>
      </c>
      <c r="E59" s="41">
        <f t="shared" si="11"/>
        <v>1650</v>
      </c>
    </row>
    <row r="60" ht="14.25" customHeight="1">
      <c r="A60" s="22" t="s">
        <v>138</v>
      </c>
      <c r="B60" s="23" t="s">
        <v>23</v>
      </c>
      <c r="C60" s="35">
        <v>7000.0</v>
      </c>
      <c r="D60" s="23">
        <v>0.2</v>
      </c>
      <c r="E60" s="41">
        <f t="shared" si="11"/>
        <v>1400</v>
      </c>
    </row>
    <row r="61" ht="14.25" customHeight="1">
      <c r="A61" s="53" t="s">
        <v>39</v>
      </c>
      <c r="B61" s="55"/>
      <c r="C61" s="56">
        <v>6000.0</v>
      </c>
      <c r="D61" s="55">
        <v>1.0</v>
      </c>
      <c r="E61" s="41">
        <f t="shared" si="11"/>
        <v>6000</v>
      </c>
    </row>
    <row r="62" ht="14.25" customHeight="1">
      <c r="A62" s="60" t="s">
        <v>51</v>
      </c>
      <c r="B62" s="62"/>
      <c r="C62" s="64"/>
      <c r="D62" s="62"/>
      <c r="E62" s="66">
        <f>SUM(E55:E61)</f>
        <v>22750</v>
      </c>
    </row>
    <row r="63" ht="14.25" customHeight="1"/>
    <row r="64" ht="14.25" customHeight="1">
      <c r="A64" s="69" t="s">
        <v>213</v>
      </c>
      <c r="B64" s="3"/>
      <c r="C64" s="3"/>
      <c r="D64" s="3"/>
      <c r="E64" s="14"/>
      <c r="F64" s="128"/>
      <c r="G64" s="33" t="s">
        <v>218</v>
      </c>
      <c r="H64" s="3"/>
      <c r="I64" s="3"/>
      <c r="J64" s="3"/>
      <c r="K64" s="3"/>
    </row>
    <row r="65" ht="14.25" customHeight="1">
      <c r="A65" s="89" t="s">
        <v>220</v>
      </c>
      <c r="B65" s="90" t="s">
        <v>8</v>
      </c>
      <c r="C65" s="73">
        <v>215000.0</v>
      </c>
      <c r="D65" s="90">
        <v>0.15</v>
      </c>
      <c r="E65" s="75">
        <f>C65*D65</f>
        <v>32250</v>
      </c>
      <c r="F65" s="128"/>
      <c r="G65" s="22" t="s">
        <v>223</v>
      </c>
      <c r="H65" s="23" t="s">
        <v>23</v>
      </c>
      <c r="I65" s="35">
        <v>14000.0</v>
      </c>
      <c r="J65" s="23">
        <v>0.05</v>
      </c>
      <c r="K65" s="41">
        <f t="shared" ref="K65:K67" si="13">I65*J65</f>
        <v>700</v>
      </c>
    </row>
    <row r="66" ht="14.25" customHeight="1">
      <c r="A66" s="89"/>
      <c r="B66" s="90"/>
      <c r="C66" s="129"/>
      <c r="D66" s="90"/>
      <c r="E66" s="75"/>
      <c r="G66" s="22" t="s">
        <v>229</v>
      </c>
      <c r="H66" s="23" t="s">
        <v>23</v>
      </c>
      <c r="I66" s="35">
        <v>230000.0</v>
      </c>
      <c r="J66" s="23">
        <v>0.25</v>
      </c>
      <c r="K66" s="41">
        <f t="shared" si="13"/>
        <v>57500</v>
      </c>
    </row>
    <row r="67" ht="14.25" customHeight="1">
      <c r="A67" s="76" t="s">
        <v>39</v>
      </c>
      <c r="B67" s="77"/>
      <c r="C67" s="78">
        <v>6000.0</v>
      </c>
      <c r="D67" s="77">
        <v>1.0</v>
      </c>
      <c r="E67" s="75">
        <f>C67*D67</f>
        <v>6000</v>
      </c>
      <c r="G67" s="53" t="s">
        <v>39</v>
      </c>
      <c r="H67" s="55"/>
      <c r="I67" s="56">
        <v>6000.0</v>
      </c>
      <c r="J67" s="55">
        <v>1.0</v>
      </c>
      <c r="K67" s="41">
        <f t="shared" si="13"/>
        <v>6000</v>
      </c>
    </row>
    <row r="68" ht="14.25" customHeight="1">
      <c r="A68" s="130" t="s">
        <v>51</v>
      </c>
      <c r="B68" s="82"/>
      <c r="C68" s="83"/>
      <c r="D68" s="82"/>
      <c r="E68" s="84">
        <f>SUM(E65:E67)</f>
        <v>38250</v>
      </c>
      <c r="G68" s="60" t="s">
        <v>51</v>
      </c>
      <c r="H68" s="62"/>
      <c r="I68" s="64"/>
      <c r="J68" s="62"/>
      <c r="K68" s="66">
        <f>SUM(K65:K67)</f>
        <v>64200</v>
      </c>
    </row>
    <row r="69" ht="14.25" customHeight="1"/>
    <row r="70" ht="14.25" customHeight="1">
      <c r="A70" s="33" t="s">
        <v>236</v>
      </c>
      <c r="B70" s="3"/>
      <c r="C70" s="3"/>
      <c r="D70" s="3"/>
      <c r="E70" s="3"/>
      <c r="G70" s="33" t="s">
        <v>237</v>
      </c>
      <c r="H70" s="3"/>
      <c r="I70" s="3"/>
      <c r="J70" s="3"/>
      <c r="K70" s="3"/>
    </row>
    <row r="71" ht="14.25" customHeight="1">
      <c r="A71" s="22" t="s">
        <v>238</v>
      </c>
      <c r="B71" s="23" t="s">
        <v>8</v>
      </c>
      <c r="C71" s="35">
        <v>60000.0</v>
      </c>
      <c r="D71" s="23">
        <v>0.5</v>
      </c>
      <c r="E71" s="41">
        <f t="shared" ref="E71:E73" si="14">C71*D71</f>
        <v>30000</v>
      </c>
      <c r="G71" s="22" t="s">
        <v>240</v>
      </c>
      <c r="H71" s="23" t="s">
        <v>23</v>
      </c>
      <c r="I71" s="35">
        <v>125000.0</v>
      </c>
      <c r="J71" s="23">
        <v>0.2</v>
      </c>
      <c r="K71" s="41">
        <f t="shared" ref="K71:K72" si="15">I71*J71</f>
        <v>25000</v>
      </c>
    </row>
    <row r="72" ht="14.25" customHeight="1">
      <c r="A72" s="22" t="s">
        <v>243</v>
      </c>
      <c r="B72" s="23" t="s">
        <v>8</v>
      </c>
      <c r="C72" s="35">
        <v>12000.0</v>
      </c>
      <c r="D72" s="23">
        <v>0.2</v>
      </c>
      <c r="E72" s="41">
        <f t="shared" si="14"/>
        <v>2400</v>
      </c>
      <c r="G72" s="53" t="s">
        <v>39</v>
      </c>
      <c r="H72" s="55"/>
      <c r="I72" s="56">
        <v>6000.0</v>
      </c>
      <c r="J72" s="55">
        <v>1.0</v>
      </c>
      <c r="K72" s="41">
        <f t="shared" si="15"/>
        <v>6000</v>
      </c>
    </row>
    <row r="73" ht="14.25" customHeight="1">
      <c r="A73" s="53" t="s">
        <v>39</v>
      </c>
      <c r="B73" s="55"/>
      <c r="C73" s="56">
        <v>6000.0</v>
      </c>
      <c r="D73" s="55">
        <v>1.0</v>
      </c>
      <c r="E73" s="41">
        <f t="shared" si="14"/>
        <v>6000</v>
      </c>
      <c r="G73" s="60" t="s">
        <v>51</v>
      </c>
      <c r="H73" s="62"/>
      <c r="I73" s="64"/>
      <c r="J73" s="62"/>
      <c r="K73" s="66">
        <f>SUM(K71:K72)</f>
        <v>31000</v>
      </c>
    </row>
    <row r="74" ht="14.25" customHeight="1">
      <c r="A74" s="60" t="s">
        <v>51</v>
      </c>
      <c r="B74" s="62"/>
      <c r="C74" s="64"/>
      <c r="D74" s="62"/>
      <c r="E74" s="66">
        <f>SUM(E71:E73)</f>
        <v>38400</v>
      </c>
    </row>
    <row r="75" ht="14.25" customHeight="1"/>
    <row r="76" ht="14.25" customHeight="1">
      <c r="A76" s="33" t="s">
        <v>253</v>
      </c>
      <c r="B76" s="3"/>
      <c r="C76" s="3"/>
      <c r="D76" s="3"/>
      <c r="E76" s="3"/>
      <c r="G76" s="33" t="s">
        <v>254</v>
      </c>
      <c r="H76" s="3"/>
      <c r="I76" s="3"/>
      <c r="J76" s="3"/>
      <c r="K76" s="3"/>
    </row>
    <row r="77" ht="14.25" customHeight="1">
      <c r="A77" s="108" t="s">
        <v>256</v>
      </c>
      <c r="B77" s="109" t="s">
        <v>23</v>
      </c>
      <c r="C77" s="35">
        <v>30000.0</v>
      </c>
      <c r="D77" s="109">
        <v>0.5</v>
      </c>
      <c r="E77" s="41">
        <f t="shared" ref="E77:E78" si="16">C77*D77</f>
        <v>15000</v>
      </c>
      <c r="G77" s="108" t="s">
        <v>259</v>
      </c>
      <c r="H77" s="109" t="s">
        <v>23</v>
      </c>
      <c r="I77" s="35">
        <v>455000.0</v>
      </c>
      <c r="J77" s="109">
        <v>0.02</v>
      </c>
      <c r="K77" s="41">
        <f t="shared" ref="K77:K80" si="17">I77*J77</f>
        <v>9100</v>
      </c>
    </row>
    <row r="78" ht="14.25" customHeight="1">
      <c r="A78" s="53" t="s">
        <v>39</v>
      </c>
      <c r="B78" s="55"/>
      <c r="C78" s="56">
        <v>6000.0</v>
      </c>
      <c r="D78" s="55">
        <v>1.0</v>
      </c>
      <c r="E78" s="41">
        <f t="shared" si="16"/>
        <v>6000</v>
      </c>
      <c r="G78" s="108" t="s">
        <v>256</v>
      </c>
      <c r="H78" s="109" t="s">
        <v>23</v>
      </c>
      <c r="I78" s="35">
        <v>30000.0</v>
      </c>
      <c r="J78" s="109">
        <v>0.5</v>
      </c>
      <c r="K78" s="41">
        <f t="shared" si="17"/>
        <v>15000</v>
      </c>
    </row>
    <row r="79" ht="14.25" customHeight="1">
      <c r="A79" s="60" t="s">
        <v>51</v>
      </c>
      <c r="B79" s="62"/>
      <c r="C79" s="64"/>
      <c r="D79" s="62"/>
      <c r="E79" s="66">
        <f>SUM(E77:E78)</f>
        <v>21000</v>
      </c>
      <c r="G79" s="108" t="s">
        <v>46</v>
      </c>
      <c r="H79" s="109" t="s">
        <v>23</v>
      </c>
      <c r="I79" s="35">
        <v>125000.0</v>
      </c>
      <c r="J79" s="109">
        <v>0.02</v>
      </c>
      <c r="K79" s="41">
        <f t="shared" si="17"/>
        <v>2500</v>
      </c>
    </row>
    <row r="80" ht="14.25" customHeight="1">
      <c r="G80" s="53" t="s">
        <v>39</v>
      </c>
      <c r="H80" s="55"/>
      <c r="I80" s="56">
        <v>6000.0</v>
      </c>
      <c r="J80" s="55">
        <v>1.0</v>
      </c>
      <c r="K80" s="41">
        <f t="shared" si="17"/>
        <v>6000</v>
      </c>
    </row>
    <row r="81" ht="14.25" customHeight="1">
      <c r="G81" s="131" t="s">
        <v>51</v>
      </c>
      <c r="H81" s="62"/>
      <c r="I81" s="64"/>
      <c r="J81" s="62"/>
      <c r="K81" s="66">
        <f>SUM(K77:K80)</f>
        <v>32600</v>
      </c>
    </row>
    <row r="82" ht="14.25" customHeight="1"/>
    <row r="83" ht="14.25" customHeight="1">
      <c r="A83" s="33" t="s">
        <v>267</v>
      </c>
      <c r="B83" s="3"/>
      <c r="C83" s="3"/>
      <c r="D83" s="3"/>
      <c r="E83" s="3"/>
      <c r="G83" s="33" t="s">
        <v>269</v>
      </c>
      <c r="H83" s="3"/>
      <c r="I83" s="3"/>
      <c r="J83" s="3"/>
      <c r="K83" s="3"/>
    </row>
    <row r="84" ht="14.25" customHeight="1">
      <c r="A84" s="22" t="s">
        <v>271</v>
      </c>
      <c r="B84" s="23" t="s">
        <v>23</v>
      </c>
      <c r="C84" s="35">
        <v>18000.0</v>
      </c>
      <c r="D84" s="23">
        <v>0.2</v>
      </c>
      <c r="E84" s="41">
        <f t="shared" ref="E84:E86" si="18">C84*D84</f>
        <v>3600</v>
      </c>
      <c r="G84" s="22" t="s">
        <v>271</v>
      </c>
      <c r="H84" s="23" t="s">
        <v>23</v>
      </c>
      <c r="I84" s="35">
        <v>18000.0</v>
      </c>
      <c r="J84" s="23">
        <v>0.2</v>
      </c>
      <c r="K84" s="41">
        <f t="shared" ref="K84:K86" si="19">I84*J84</f>
        <v>3600</v>
      </c>
    </row>
    <row r="85" ht="14.25" customHeight="1">
      <c r="A85" s="22" t="s">
        <v>57</v>
      </c>
      <c r="B85" s="23" t="s">
        <v>23</v>
      </c>
      <c r="C85" s="35">
        <v>180000.0</v>
      </c>
      <c r="D85" s="23">
        <v>0.1</v>
      </c>
      <c r="E85" s="41">
        <f t="shared" si="18"/>
        <v>18000</v>
      </c>
      <c r="G85" s="22" t="s">
        <v>272</v>
      </c>
      <c r="H85" s="23" t="s">
        <v>23</v>
      </c>
      <c r="I85" s="35">
        <v>73000.0</v>
      </c>
      <c r="J85" s="23">
        <v>0.2</v>
      </c>
      <c r="K85" s="41">
        <f t="shared" si="19"/>
        <v>14600</v>
      </c>
    </row>
    <row r="86" ht="14.25" customHeight="1">
      <c r="A86" s="53" t="s">
        <v>39</v>
      </c>
      <c r="B86" s="55"/>
      <c r="C86" s="56">
        <v>6000.0</v>
      </c>
      <c r="D86" s="55">
        <v>1.0</v>
      </c>
      <c r="E86" s="41">
        <f t="shared" si="18"/>
        <v>6000</v>
      </c>
      <c r="G86" s="53" t="s">
        <v>39</v>
      </c>
      <c r="H86" s="55"/>
      <c r="I86" s="56">
        <v>6000.0</v>
      </c>
      <c r="J86" s="55">
        <v>1.0</v>
      </c>
      <c r="K86" s="41">
        <f t="shared" si="19"/>
        <v>6000</v>
      </c>
    </row>
    <row r="87" ht="14.25" customHeight="1">
      <c r="A87" s="60" t="s">
        <v>51</v>
      </c>
      <c r="B87" s="62"/>
      <c r="C87" s="64"/>
      <c r="D87" s="62"/>
      <c r="E87" s="66">
        <f>SUM(E84:E86)</f>
        <v>27600</v>
      </c>
      <c r="G87" s="131" t="s">
        <v>51</v>
      </c>
      <c r="H87" s="62"/>
      <c r="I87" s="64"/>
      <c r="J87" s="62"/>
      <c r="K87" s="66">
        <f>SUM(K82:K86)</f>
        <v>24200</v>
      </c>
    </row>
    <row r="88" ht="14.25" customHeight="1">
      <c r="G88" s="134"/>
      <c r="H88" s="135"/>
      <c r="I88" s="136"/>
      <c r="J88" s="135"/>
      <c r="K88" s="137"/>
    </row>
    <row r="89" ht="14.25" customHeight="1">
      <c r="A89" s="33" t="s">
        <v>145</v>
      </c>
      <c r="B89" s="3"/>
      <c r="C89" s="3"/>
      <c r="D89" s="3"/>
      <c r="E89" s="3"/>
      <c r="G89" s="33" t="s">
        <v>145</v>
      </c>
      <c r="H89" s="3"/>
      <c r="I89" s="3"/>
      <c r="J89" s="3"/>
      <c r="K89" s="3"/>
    </row>
    <row r="90" ht="14.25" customHeight="1">
      <c r="A90" s="108" t="s">
        <v>146</v>
      </c>
      <c r="B90" s="109" t="s">
        <v>23</v>
      </c>
      <c r="C90" s="35">
        <v>22000.0</v>
      </c>
      <c r="D90" s="109">
        <v>0.3</v>
      </c>
      <c r="E90" s="41">
        <f t="shared" ref="E90:E91" si="20">C90*D90</f>
        <v>6600</v>
      </c>
      <c r="G90" s="108" t="s">
        <v>146</v>
      </c>
      <c r="H90" s="109" t="s">
        <v>23</v>
      </c>
      <c r="I90" s="35">
        <v>22000.0</v>
      </c>
      <c r="J90" s="109">
        <v>0.3</v>
      </c>
      <c r="K90" s="41">
        <f t="shared" ref="K90:K91" si="21">I90*J90</f>
        <v>6600</v>
      </c>
    </row>
    <row r="91" ht="14.25" customHeight="1">
      <c r="A91" s="53" t="s">
        <v>39</v>
      </c>
      <c r="B91" s="55"/>
      <c r="C91" s="56">
        <v>3000.0</v>
      </c>
      <c r="D91" s="55">
        <v>1.0</v>
      </c>
      <c r="E91" s="41">
        <f t="shared" si="20"/>
        <v>3000</v>
      </c>
      <c r="G91" s="53" t="s">
        <v>39</v>
      </c>
      <c r="H91" s="55"/>
      <c r="I91" s="56">
        <v>3000.0</v>
      </c>
      <c r="J91" s="55">
        <v>1.0</v>
      </c>
      <c r="K91" s="41">
        <f t="shared" si="21"/>
        <v>3000</v>
      </c>
    </row>
    <row r="92" ht="14.25" customHeight="1">
      <c r="A92" s="60" t="s">
        <v>51</v>
      </c>
      <c r="B92" s="62"/>
      <c r="C92" s="64"/>
      <c r="D92" s="62"/>
      <c r="E92" s="66">
        <f>SUM(E90:E91)</f>
        <v>9600</v>
      </c>
      <c r="G92" s="60" t="s">
        <v>51</v>
      </c>
      <c r="H92" s="62"/>
      <c r="I92" s="64"/>
      <c r="J92" s="62"/>
      <c r="K92" s="66">
        <f>SUM(K90:K91)</f>
        <v>9600</v>
      </c>
    </row>
    <row r="93" ht="14.25" customHeight="1"/>
    <row r="94" ht="14.25" customHeight="1">
      <c r="A94" s="33" t="s">
        <v>157</v>
      </c>
      <c r="B94" s="3"/>
      <c r="C94" s="3"/>
      <c r="D94" s="3"/>
      <c r="E94" s="3"/>
      <c r="G94" s="33" t="s">
        <v>158</v>
      </c>
      <c r="H94" s="3"/>
      <c r="I94" s="3"/>
      <c r="J94" s="3"/>
      <c r="K94" s="3"/>
    </row>
    <row r="95" ht="14.25" customHeight="1">
      <c r="A95" s="22" t="s">
        <v>160</v>
      </c>
      <c r="B95" s="23" t="s">
        <v>23</v>
      </c>
      <c r="C95" s="45">
        <v>45000.0</v>
      </c>
      <c r="D95" s="23">
        <v>0.02</v>
      </c>
      <c r="E95" s="41">
        <f t="shared" ref="E95:E98" si="22">C95*D95</f>
        <v>900</v>
      </c>
      <c r="G95" s="22" t="s">
        <v>276</v>
      </c>
      <c r="H95" s="23" t="s">
        <v>23</v>
      </c>
      <c r="I95" s="45">
        <v>25000.0</v>
      </c>
      <c r="J95" s="23">
        <v>0.01</v>
      </c>
      <c r="K95" s="41">
        <f t="shared" ref="K95:K99" si="23">I95*J95</f>
        <v>250</v>
      </c>
    </row>
    <row r="96" ht="14.25" customHeight="1">
      <c r="A96" s="22" t="s">
        <v>162</v>
      </c>
      <c r="B96" s="23" t="s">
        <v>23</v>
      </c>
      <c r="C96" s="45">
        <v>165000.0</v>
      </c>
      <c r="D96" s="23">
        <v>0.03</v>
      </c>
      <c r="E96" s="41">
        <f t="shared" si="22"/>
        <v>4950</v>
      </c>
      <c r="G96" s="22" t="s">
        <v>165</v>
      </c>
      <c r="H96" s="23" t="s">
        <v>166</v>
      </c>
      <c r="I96" s="45">
        <v>1000.0</v>
      </c>
      <c r="J96" s="23">
        <v>1.0</v>
      </c>
      <c r="K96" s="41">
        <f t="shared" si="23"/>
        <v>1000</v>
      </c>
    </row>
    <row r="97" ht="14.25" customHeight="1">
      <c r="A97" s="22" t="s">
        <v>276</v>
      </c>
      <c r="B97" s="23" t="s">
        <v>23</v>
      </c>
      <c r="C97" s="45">
        <v>25000.0</v>
      </c>
      <c r="D97" s="23">
        <v>0.01</v>
      </c>
      <c r="E97" s="41">
        <f t="shared" si="22"/>
        <v>250</v>
      </c>
      <c r="G97" s="22" t="s">
        <v>167</v>
      </c>
      <c r="H97" s="23" t="s">
        <v>23</v>
      </c>
      <c r="I97" s="45">
        <v>22000.0</v>
      </c>
      <c r="J97" s="23">
        <v>0.01</v>
      </c>
      <c r="K97" s="41">
        <f t="shared" si="23"/>
        <v>220</v>
      </c>
    </row>
    <row r="98" ht="14.25" customHeight="1">
      <c r="A98" s="53" t="s">
        <v>39</v>
      </c>
      <c r="B98" s="55"/>
      <c r="C98" s="56">
        <v>2000.0</v>
      </c>
      <c r="D98" s="55">
        <v>1.0</v>
      </c>
      <c r="E98" s="41">
        <f t="shared" si="22"/>
        <v>2000</v>
      </c>
      <c r="F98" s="32">
        <f>295000*2</f>
        <v>590000</v>
      </c>
      <c r="G98" s="22" t="s">
        <v>160</v>
      </c>
      <c r="H98" s="23" t="s">
        <v>23</v>
      </c>
      <c r="I98" s="45">
        <v>45000.0</v>
      </c>
      <c r="J98" s="23">
        <v>0.05</v>
      </c>
      <c r="K98" s="41">
        <f t="shared" si="23"/>
        <v>2250</v>
      </c>
    </row>
    <row r="99" ht="14.25" customHeight="1">
      <c r="A99" s="60" t="s">
        <v>51</v>
      </c>
      <c r="B99" s="62"/>
      <c r="C99" s="64"/>
      <c r="D99" s="62"/>
      <c r="E99" s="66">
        <f>SUM(E95:E98)</f>
        <v>8100</v>
      </c>
      <c r="G99" s="53" t="s">
        <v>39</v>
      </c>
      <c r="H99" s="55"/>
      <c r="I99" s="56">
        <v>2000.0</v>
      </c>
      <c r="J99" s="55">
        <v>1.0</v>
      </c>
      <c r="K99" s="41">
        <f t="shared" si="23"/>
        <v>2000</v>
      </c>
    </row>
    <row r="100" ht="14.25" customHeight="1">
      <c r="G100" s="60" t="s">
        <v>51</v>
      </c>
      <c r="H100" s="62"/>
      <c r="I100" s="64"/>
      <c r="J100" s="62"/>
      <c r="K100" s="66">
        <f>SUM(K95:K99)</f>
        <v>5720</v>
      </c>
    </row>
    <row r="101" ht="14.25" customHeight="1">
      <c r="E101" s="112">
        <f>E62+E68+E74+E79+E87+E92+E99</f>
        <v>165700</v>
      </c>
      <c r="K101" s="112">
        <f>K58+K68+K73+K81+K87+K92+K100</f>
        <v>201070</v>
      </c>
    </row>
    <row r="102" ht="14.25" customHeight="1">
      <c r="A102" s="113" t="s">
        <v>183</v>
      </c>
      <c r="B102" s="114"/>
      <c r="C102" s="115"/>
      <c r="D102" s="114"/>
      <c r="E102" s="116">
        <f>(E99*2)+SUM(E92,E87,E79,E74,E68,E62)</f>
        <v>173800</v>
      </c>
      <c r="F102" s="138"/>
      <c r="G102" s="113" t="s">
        <v>183</v>
      </c>
      <c r="H102" s="114"/>
      <c r="I102" s="115"/>
      <c r="J102" s="114"/>
      <c r="K102" s="118">
        <f>(K100*2)+SUM(K92,K87,K81,K73,K68,K58)</f>
        <v>206790</v>
      </c>
    </row>
    <row r="103" ht="14.25" customHeight="1">
      <c r="A103" s="119" t="s">
        <v>188</v>
      </c>
      <c r="B103" s="3"/>
      <c r="C103" s="3"/>
      <c r="D103" s="6"/>
      <c r="E103" s="120">
        <f>E102/F98</f>
        <v>0.2945762712</v>
      </c>
      <c r="F103" s="121"/>
      <c r="G103" s="119" t="s">
        <v>188</v>
      </c>
      <c r="H103" s="3"/>
      <c r="I103" s="3"/>
      <c r="J103" s="6"/>
      <c r="K103" s="120">
        <f>K102/F98</f>
        <v>0.3504915254</v>
      </c>
    </row>
    <row r="104" ht="14.25" customHeight="1">
      <c r="A104" s="5" t="s">
        <v>281</v>
      </c>
      <c r="B104" s="8"/>
      <c r="C104" s="8"/>
      <c r="D104" s="8"/>
      <c r="E104" s="8"/>
      <c r="F104" s="8"/>
      <c r="G104" s="8"/>
      <c r="H104" s="8"/>
      <c r="I104" s="8"/>
      <c r="J104" s="8"/>
      <c r="K104" s="11"/>
    </row>
    <row r="105" ht="14.25" customHeight="1">
      <c r="A105" s="16" t="s">
        <v>12</v>
      </c>
      <c r="B105" s="18"/>
      <c r="C105" s="18"/>
      <c r="D105" s="18"/>
      <c r="E105" s="19"/>
      <c r="F105" s="85"/>
      <c r="G105" s="28" t="s">
        <v>192</v>
      </c>
      <c r="H105" s="29"/>
      <c r="I105" s="29"/>
      <c r="J105" s="29"/>
      <c r="K105" s="30"/>
    </row>
    <row r="106" ht="14.25" customHeight="1">
      <c r="F106" s="140"/>
    </row>
    <row r="107" ht="14.25" customHeight="1">
      <c r="A107" s="33" t="s">
        <v>193</v>
      </c>
      <c r="B107" s="3"/>
      <c r="C107" s="3"/>
      <c r="D107" s="3"/>
      <c r="E107" s="3"/>
      <c r="G107" s="33" t="s">
        <v>194</v>
      </c>
      <c r="H107" s="3"/>
      <c r="I107" s="3"/>
      <c r="J107" s="3"/>
      <c r="K107" s="3"/>
    </row>
    <row r="108" ht="14.25" customHeight="1">
      <c r="A108" s="22" t="s">
        <v>67</v>
      </c>
      <c r="B108" s="23" t="s">
        <v>23</v>
      </c>
      <c r="C108" s="35">
        <v>21000.0</v>
      </c>
      <c r="D108" s="23">
        <v>0.1</v>
      </c>
      <c r="E108" s="41">
        <f>C108*D108</f>
        <v>2100</v>
      </c>
      <c r="G108" s="108" t="s">
        <v>195</v>
      </c>
      <c r="H108" s="109" t="s">
        <v>23</v>
      </c>
      <c r="I108" s="35">
        <v>150000.0</v>
      </c>
      <c r="J108" s="109">
        <v>0.15</v>
      </c>
      <c r="K108" s="41">
        <f t="shared" ref="K108:K110" si="24">I108*J108</f>
        <v>22500</v>
      </c>
    </row>
    <row r="109" ht="14.25" customHeight="1">
      <c r="A109" s="22"/>
      <c r="B109" s="23"/>
      <c r="C109" s="35"/>
      <c r="D109" s="23"/>
      <c r="E109" s="41"/>
      <c r="F109" s="144"/>
      <c r="G109" s="108" t="s">
        <v>199</v>
      </c>
      <c r="H109" s="109" t="s">
        <v>23</v>
      </c>
      <c r="I109" s="35">
        <v>7000.0</v>
      </c>
      <c r="J109" s="109">
        <v>0.75</v>
      </c>
      <c r="K109" s="41">
        <f t="shared" si="24"/>
        <v>5250</v>
      </c>
    </row>
    <row r="110" ht="14.25" customHeight="1">
      <c r="A110" s="22" t="s">
        <v>200</v>
      </c>
      <c r="B110" s="23" t="s">
        <v>23</v>
      </c>
      <c r="C110" s="35">
        <v>95000.0</v>
      </c>
      <c r="D110" s="23">
        <v>0.05</v>
      </c>
      <c r="E110" s="41">
        <f t="shared" ref="E110:E114" si="25">C110*D110</f>
        <v>4750</v>
      </c>
      <c r="F110" s="145"/>
      <c r="G110" s="53" t="s">
        <v>39</v>
      </c>
      <c r="H110" s="55"/>
      <c r="I110" s="56">
        <v>6000.0</v>
      </c>
      <c r="J110" s="55">
        <v>1.0</v>
      </c>
      <c r="K110" s="41">
        <f t="shared" si="24"/>
        <v>6000</v>
      </c>
    </row>
    <row r="111" ht="14.25" customHeight="1">
      <c r="A111" s="22" t="s">
        <v>201</v>
      </c>
      <c r="B111" s="23" t="s">
        <v>23</v>
      </c>
      <c r="C111" s="35">
        <v>55000.0</v>
      </c>
      <c r="D111" s="23">
        <v>0.02</v>
      </c>
      <c r="E111" s="41">
        <f t="shared" si="25"/>
        <v>1100</v>
      </c>
      <c r="F111" s="145"/>
      <c r="G111" s="60" t="s">
        <v>51</v>
      </c>
      <c r="H111" s="125"/>
      <c r="I111" s="126"/>
      <c r="J111" s="125"/>
      <c r="K111" s="127">
        <f>SUM(K108:K110)</f>
        <v>33750</v>
      </c>
    </row>
    <row r="112" ht="14.25" customHeight="1">
      <c r="A112" s="22" t="s">
        <v>36</v>
      </c>
      <c r="B112" s="23" t="s">
        <v>23</v>
      </c>
      <c r="C112" s="35">
        <v>55000.0</v>
      </c>
      <c r="D112" s="23">
        <v>0.03</v>
      </c>
      <c r="E112" s="41">
        <f t="shared" si="25"/>
        <v>1650</v>
      </c>
      <c r="F112" s="146"/>
    </row>
    <row r="113" ht="14.25" customHeight="1">
      <c r="A113" s="22" t="s">
        <v>138</v>
      </c>
      <c r="B113" s="23" t="s">
        <v>23</v>
      </c>
      <c r="C113" s="35">
        <v>7000.0</v>
      </c>
      <c r="D113" s="23">
        <v>0.2</v>
      </c>
      <c r="E113" s="41">
        <f t="shared" si="25"/>
        <v>1400</v>
      </c>
    </row>
    <row r="114" ht="14.25" customHeight="1">
      <c r="A114" s="53" t="s">
        <v>39</v>
      </c>
      <c r="B114" s="55"/>
      <c r="C114" s="56">
        <v>6000.0</v>
      </c>
      <c r="D114" s="55">
        <v>1.0</v>
      </c>
      <c r="E114" s="41">
        <f t="shared" si="25"/>
        <v>6000</v>
      </c>
    </row>
    <row r="115" ht="14.25" customHeight="1">
      <c r="A115" s="60" t="s">
        <v>51</v>
      </c>
      <c r="B115" s="62"/>
      <c r="C115" s="64"/>
      <c r="D115" s="62"/>
      <c r="E115" s="66">
        <f>SUM(E108:E114)</f>
        <v>17000</v>
      </c>
    </row>
    <row r="116" ht="14.25" customHeight="1"/>
    <row r="117" ht="14.25" customHeight="1">
      <c r="A117" s="33" t="s">
        <v>285</v>
      </c>
      <c r="B117" s="3"/>
      <c r="C117" s="3"/>
      <c r="D117" s="3"/>
      <c r="E117" s="3"/>
      <c r="G117" s="33" t="s">
        <v>287</v>
      </c>
      <c r="H117" s="3"/>
      <c r="I117" s="3"/>
      <c r="J117" s="3"/>
      <c r="K117" s="3"/>
    </row>
    <row r="118" ht="14.25" customHeight="1">
      <c r="A118" s="22" t="s">
        <v>288</v>
      </c>
      <c r="B118" s="23" t="s">
        <v>23</v>
      </c>
      <c r="C118" s="35">
        <v>23000.0</v>
      </c>
      <c r="D118" s="23">
        <v>0.4</v>
      </c>
      <c r="E118" s="41">
        <f t="shared" ref="E118:E120" si="26">C118*D118</f>
        <v>9200</v>
      </c>
      <c r="G118" s="22" t="s">
        <v>289</v>
      </c>
      <c r="H118" s="23" t="s">
        <v>290</v>
      </c>
      <c r="I118" s="35">
        <v>8000.0</v>
      </c>
      <c r="J118" s="23">
        <v>1.0</v>
      </c>
      <c r="K118" s="41">
        <f t="shared" ref="K118:K122" si="27">I118*J118</f>
        <v>8000</v>
      </c>
    </row>
    <row r="119" ht="14.25" customHeight="1">
      <c r="A119" s="22" t="s">
        <v>48</v>
      </c>
      <c r="B119" s="23" t="s">
        <v>23</v>
      </c>
      <c r="C119" s="35">
        <v>120000.0</v>
      </c>
      <c r="D119" s="23">
        <v>0.6</v>
      </c>
      <c r="E119" s="41">
        <f t="shared" si="26"/>
        <v>72000</v>
      </c>
      <c r="G119" s="22" t="s">
        <v>46</v>
      </c>
      <c r="H119" s="23" t="s">
        <v>23</v>
      </c>
      <c r="I119" s="35">
        <v>125000.0</v>
      </c>
      <c r="J119" s="23">
        <v>0.4</v>
      </c>
      <c r="K119" s="41">
        <f t="shared" si="27"/>
        <v>50000</v>
      </c>
    </row>
    <row r="120" ht="14.25" customHeight="1">
      <c r="A120" s="53" t="s">
        <v>39</v>
      </c>
      <c r="B120" s="55"/>
      <c r="C120" s="56">
        <v>6000.0</v>
      </c>
      <c r="D120" s="55">
        <v>1.0</v>
      </c>
      <c r="E120" s="41">
        <f t="shared" si="26"/>
        <v>6000</v>
      </c>
      <c r="G120" s="22" t="s">
        <v>291</v>
      </c>
      <c r="H120" s="23" t="s">
        <v>64</v>
      </c>
      <c r="I120" s="35">
        <v>6000.0</v>
      </c>
      <c r="J120" s="23">
        <v>2.0</v>
      </c>
      <c r="K120" s="41">
        <f t="shared" si="27"/>
        <v>12000</v>
      </c>
    </row>
    <row r="121" ht="14.25" customHeight="1">
      <c r="A121" s="60" t="s">
        <v>51</v>
      </c>
      <c r="B121" s="62"/>
      <c r="C121" s="64"/>
      <c r="D121" s="62"/>
      <c r="E121" s="66">
        <f>SUM(E118:E120)</f>
        <v>87200</v>
      </c>
      <c r="G121" s="22" t="s">
        <v>288</v>
      </c>
      <c r="H121" s="23" t="s">
        <v>23</v>
      </c>
      <c r="I121" s="35">
        <v>23000.0</v>
      </c>
      <c r="J121" s="23">
        <v>0.4</v>
      </c>
      <c r="K121" s="41">
        <f t="shared" si="27"/>
        <v>9200</v>
      </c>
    </row>
    <row r="122" ht="14.25" customHeight="1">
      <c r="G122" s="53" t="s">
        <v>39</v>
      </c>
      <c r="H122" s="55"/>
      <c r="I122" s="56">
        <v>6000.0</v>
      </c>
      <c r="J122" s="55">
        <v>1.0</v>
      </c>
      <c r="K122" s="41">
        <f t="shared" si="27"/>
        <v>6000</v>
      </c>
    </row>
    <row r="123" ht="14.25" customHeight="1">
      <c r="G123" s="60" t="s">
        <v>51</v>
      </c>
      <c r="H123" s="62"/>
      <c r="I123" s="64"/>
      <c r="J123" s="62"/>
      <c r="K123" s="66">
        <f>SUM(K118:K122)</f>
        <v>85200</v>
      </c>
    </row>
    <row r="124" ht="14.25" customHeight="1"/>
    <row r="125" ht="14.25" customHeight="1">
      <c r="A125" s="57" t="s">
        <v>293</v>
      </c>
      <c r="B125" s="3"/>
      <c r="C125" s="3"/>
      <c r="D125" s="3"/>
      <c r="E125" s="3"/>
      <c r="G125" s="69" t="s">
        <v>294</v>
      </c>
      <c r="H125" s="3"/>
      <c r="I125" s="3"/>
      <c r="J125" s="3"/>
      <c r="K125" s="14"/>
    </row>
    <row r="126" ht="14.25" customHeight="1">
      <c r="A126" s="22" t="s">
        <v>295</v>
      </c>
      <c r="B126" s="23" t="s">
        <v>23</v>
      </c>
      <c r="C126" s="35">
        <v>150000.0</v>
      </c>
      <c r="D126" s="23">
        <v>0.3</v>
      </c>
      <c r="E126" s="147">
        <f t="shared" ref="E126:E127" si="28">C126*D126</f>
        <v>45000</v>
      </c>
      <c r="F126" s="148"/>
      <c r="G126" s="71" t="s">
        <v>48</v>
      </c>
      <c r="H126" s="72" t="s">
        <v>8</v>
      </c>
      <c r="I126" s="73">
        <v>120000.0</v>
      </c>
      <c r="J126" s="72">
        <v>0.7</v>
      </c>
      <c r="K126" s="75">
        <f t="shared" ref="K126:K127" si="29">J126*I126</f>
        <v>84000</v>
      </c>
    </row>
    <row r="127" ht="14.25" customHeight="1">
      <c r="A127" s="149" t="s">
        <v>39</v>
      </c>
      <c r="B127" s="150"/>
      <c r="C127" s="151">
        <v>6500.0</v>
      </c>
      <c r="D127" s="150">
        <v>1.0</v>
      </c>
      <c r="E127" s="147">
        <f t="shared" si="28"/>
        <v>6500</v>
      </c>
      <c r="F127" s="128"/>
      <c r="G127" s="76" t="s">
        <v>297</v>
      </c>
      <c r="H127" s="77" t="s">
        <v>105</v>
      </c>
      <c r="I127" s="78">
        <v>3500.0</v>
      </c>
      <c r="J127" s="77">
        <v>3.0</v>
      </c>
      <c r="K127" s="75">
        <f t="shared" si="29"/>
        <v>10500</v>
      </c>
    </row>
    <row r="128" ht="14.25" customHeight="1">
      <c r="A128" s="43" t="s">
        <v>51</v>
      </c>
      <c r="B128" s="44"/>
      <c r="C128" s="44"/>
      <c r="D128" s="44"/>
      <c r="E128" s="48">
        <f>SUM(E126:E127)</f>
        <v>51500</v>
      </c>
      <c r="G128" s="53" t="s">
        <v>39</v>
      </c>
      <c r="H128" s="55"/>
      <c r="I128" s="56">
        <v>20000.0</v>
      </c>
      <c r="J128" s="55">
        <v>1.0</v>
      </c>
      <c r="K128" s="41">
        <f>I128*J128</f>
        <v>20000</v>
      </c>
    </row>
    <row r="129" ht="14.25" customHeight="1">
      <c r="G129" s="60" t="s">
        <v>51</v>
      </c>
      <c r="H129" s="62"/>
      <c r="I129" s="64"/>
      <c r="J129" s="62"/>
      <c r="K129" s="66">
        <f>SUM(K124:K128)</f>
        <v>114500</v>
      </c>
    </row>
    <row r="130" ht="14.25" customHeight="1">
      <c r="A130" s="33" t="s">
        <v>254</v>
      </c>
      <c r="B130" s="3"/>
      <c r="C130" s="3"/>
      <c r="D130" s="3"/>
      <c r="E130" s="3"/>
      <c r="G130" s="69"/>
      <c r="H130" s="3"/>
      <c r="I130" s="3"/>
      <c r="J130" s="3"/>
      <c r="K130" s="14"/>
    </row>
    <row r="131" ht="14.25" customHeight="1">
      <c r="A131" s="108" t="s">
        <v>259</v>
      </c>
      <c r="B131" s="109" t="s">
        <v>23</v>
      </c>
      <c r="C131" s="35">
        <v>455000.0</v>
      </c>
      <c r="D131" s="109">
        <v>0.02</v>
      </c>
      <c r="E131" s="41">
        <f t="shared" ref="E131:E134" si="30">C131*D131</f>
        <v>9100</v>
      </c>
      <c r="G131" s="89"/>
      <c r="H131" s="90"/>
      <c r="I131" s="73"/>
      <c r="J131" s="90"/>
      <c r="K131" s="75"/>
    </row>
    <row r="132" ht="14.25" customHeight="1">
      <c r="A132" s="108" t="s">
        <v>256</v>
      </c>
      <c r="B132" s="109" t="s">
        <v>23</v>
      </c>
      <c r="C132" s="35">
        <v>30000.0</v>
      </c>
      <c r="D132" s="109">
        <v>0.5</v>
      </c>
      <c r="E132" s="41">
        <f t="shared" si="30"/>
        <v>15000</v>
      </c>
      <c r="G132" s="76"/>
      <c r="H132" s="77"/>
      <c r="I132" s="78"/>
      <c r="J132" s="77"/>
      <c r="K132" s="75"/>
    </row>
    <row r="133" ht="14.25" customHeight="1">
      <c r="A133" s="108" t="s">
        <v>46</v>
      </c>
      <c r="B133" s="109" t="s">
        <v>23</v>
      </c>
      <c r="C133" s="35">
        <v>125000.0</v>
      </c>
      <c r="D133" s="109">
        <v>0.02</v>
      </c>
      <c r="E133" s="41">
        <f t="shared" si="30"/>
        <v>2500</v>
      </c>
      <c r="G133" s="80"/>
      <c r="H133" s="82"/>
      <c r="I133" s="83"/>
      <c r="J133" s="82"/>
      <c r="K133" s="84"/>
    </row>
    <row r="134" ht="14.25" customHeight="1">
      <c r="A134" s="53" t="s">
        <v>39</v>
      </c>
      <c r="B134" s="55"/>
      <c r="C134" s="56">
        <v>6000.0</v>
      </c>
      <c r="D134" s="55">
        <v>1.0</v>
      </c>
      <c r="E134" s="41">
        <f t="shared" si="30"/>
        <v>6000</v>
      </c>
      <c r="G134" s="85"/>
      <c r="H134" s="85"/>
      <c r="I134" s="85"/>
      <c r="J134" s="85"/>
      <c r="K134" s="85"/>
    </row>
    <row r="135" ht="14.25" customHeight="1">
      <c r="A135" s="131" t="s">
        <v>51</v>
      </c>
      <c r="B135" s="62"/>
      <c r="C135" s="64"/>
      <c r="D135" s="62"/>
      <c r="E135" s="66">
        <f>SUM(E131:E134)</f>
        <v>32600</v>
      </c>
      <c r="G135" s="85"/>
      <c r="H135" s="85"/>
      <c r="I135" s="85"/>
      <c r="J135" s="85"/>
      <c r="K135" s="85"/>
    </row>
    <row r="136" ht="14.25" customHeight="1">
      <c r="G136" s="85"/>
      <c r="H136" s="85"/>
      <c r="I136" s="85"/>
      <c r="J136" s="85"/>
      <c r="K136" s="85"/>
    </row>
    <row r="137" ht="14.25" customHeight="1">
      <c r="A137" s="33" t="s">
        <v>301</v>
      </c>
      <c r="B137" s="3"/>
      <c r="C137" s="3"/>
      <c r="D137" s="3"/>
      <c r="E137" s="6"/>
      <c r="G137" s="69"/>
      <c r="H137" s="3"/>
      <c r="I137" s="3"/>
      <c r="J137" s="3"/>
      <c r="K137" s="14"/>
    </row>
    <row r="138" ht="14.25" customHeight="1">
      <c r="A138" s="22" t="s">
        <v>280</v>
      </c>
      <c r="B138" s="23" t="s">
        <v>23</v>
      </c>
      <c r="C138" s="35">
        <v>15000.0</v>
      </c>
      <c r="D138" s="23">
        <v>0.3</v>
      </c>
      <c r="E138" s="155">
        <f t="shared" ref="E138:E140" si="31">C138*D138</f>
        <v>4500</v>
      </c>
      <c r="G138" s="71"/>
      <c r="H138" s="72"/>
      <c r="I138" s="73"/>
      <c r="J138" s="72"/>
      <c r="K138" s="75"/>
    </row>
    <row r="139" ht="14.25" customHeight="1">
      <c r="A139" s="22" t="s">
        <v>229</v>
      </c>
      <c r="B139" s="23" t="s">
        <v>23</v>
      </c>
      <c r="C139" s="35">
        <v>230000.0</v>
      </c>
      <c r="D139" s="23">
        <v>0.2</v>
      </c>
      <c r="E139" s="155">
        <f t="shared" si="31"/>
        <v>46000</v>
      </c>
      <c r="G139" s="76"/>
      <c r="H139" s="77"/>
      <c r="I139" s="78"/>
      <c r="J139" s="77"/>
      <c r="K139" s="75"/>
    </row>
    <row r="140" ht="14.25" customHeight="1">
      <c r="A140" s="53" t="s">
        <v>39</v>
      </c>
      <c r="B140" s="55"/>
      <c r="C140" s="56">
        <v>10000.0</v>
      </c>
      <c r="D140" s="55">
        <v>1.0</v>
      </c>
      <c r="E140" s="155">
        <f t="shared" si="31"/>
        <v>10000</v>
      </c>
      <c r="G140" s="130"/>
      <c r="H140" s="82"/>
      <c r="I140" s="83"/>
      <c r="J140" s="82"/>
      <c r="K140" s="84"/>
    </row>
    <row r="141" ht="14.25" customHeight="1">
      <c r="A141" s="157" t="s">
        <v>51</v>
      </c>
      <c r="B141" s="158"/>
      <c r="C141" s="159"/>
      <c r="D141" s="158"/>
      <c r="E141" s="160">
        <f>SUM(E138:E140)</f>
        <v>60500</v>
      </c>
      <c r="G141" s="85"/>
      <c r="H141" s="85"/>
      <c r="I141" s="85"/>
      <c r="J141" s="85"/>
      <c r="K141" s="85"/>
    </row>
    <row r="142" ht="14.25" customHeight="1">
      <c r="G142" s="85"/>
      <c r="H142" s="85"/>
      <c r="I142" s="85"/>
      <c r="J142" s="85"/>
      <c r="K142" s="85"/>
    </row>
    <row r="143" ht="14.25" customHeight="1">
      <c r="A143" s="33" t="s">
        <v>145</v>
      </c>
      <c r="B143" s="3"/>
      <c r="C143" s="3"/>
      <c r="D143" s="3"/>
      <c r="E143" s="3"/>
      <c r="G143" s="69"/>
      <c r="H143" s="3"/>
      <c r="I143" s="3"/>
      <c r="J143" s="3"/>
      <c r="K143" s="14"/>
    </row>
    <row r="144" ht="14.25" customHeight="1">
      <c r="A144" s="108" t="s">
        <v>146</v>
      </c>
      <c r="B144" s="109" t="s">
        <v>23</v>
      </c>
      <c r="C144" s="35">
        <v>22000.0</v>
      </c>
      <c r="D144" s="109">
        <v>0.3</v>
      </c>
      <c r="E144" s="41">
        <f t="shared" ref="E144:E145" si="32">C144*D144</f>
        <v>6600</v>
      </c>
      <c r="G144" s="89"/>
      <c r="H144" s="90"/>
      <c r="I144" s="73"/>
      <c r="J144" s="90"/>
      <c r="K144" s="75"/>
    </row>
    <row r="145" ht="14.25" customHeight="1">
      <c r="A145" s="53" t="s">
        <v>39</v>
      </c>
      <c r="B145" s="55"/>
      <c r="C145" s="56">
        <v>6000.0</v>
      </c>
      <c r="D145" s="55">
        <v>1.0</v>
      </c>
      <c r="E145" s="41">
        <f t="shared" si="32"/>
        <v>6000</v>
      </c>
      <c r="G145" s="76"/>
      <c r="H145" s="77"/>
      <c r="I145" s="78"/>
      <c r="J145" s="77"/>
      <c r="K145" s="75"/>
    </row>
    <row r="146" ht="14.25" customHeight="1">
      <c r="A146" s="60" t="s">
        <v>51</v>
      </c>
      <c r="B146" s="62"/>
      <c r="C146" s="64"/>
      <c r="D146" s="62"/>
      <c r="E146" s="66">
        <f>SUM(E144:E145)</f>
        <v>12600</v>
      </c>
      <c r="G146" s="80"/>
      <c r="H146" s="82"/>
      <c r="I146" s="83"/>
      <c r="J146" s="82"/>
      <c r="K146" s="84"/>
    </row>
    <row r="147" ht="14.25" customHeight="1"/>
    <row r="148" ht="14.25" customHeight="1">
      <c r="A148" s="33" t="s">
        <v>157</v>
      </c>
      <c r="B148" s="3"/>
      <c r="C148" s="3"/>
      <c r="D148" s="3"/>
      <c r="E148" s="3"/>
      <c r="G148" s="33" t="s">
        <v>158</v>
      </c>
      <c r="H148" s="3"/>
      <c r="I148" s="3"/>
      <c r="J148" s="3"/>
      <c r="K148" s="3"/>
    </row>
    <row r="149" ht="14.25" customHeight="1">
      <c r="A149" s="22" t="s">
        <v>160</v>
      </c>
      <c r="B149" s="23" t="s">
        <v>23</v>
      </c>
      <c r="C149" s="45">
        <v>45000.0</v>
      </c>
      <c r="D149" s="23">
        <v>0.02</v>
      </c>
      <c r="E149" s="41">
        <f t="shared" ref="E149:E152" si="33">C149*D149</f>
        <v>900</v>
      </c>
      <c r="F149" s="161"/>
      <c r="G149" s="22" t="s">
        <v>276</v>
      </c>
      <c r="H149" s="23" t="s">
        <v>23</v>
      </c>
      <c r="I149" s="45">
        <v>25000.0</v>
      </c>
      <c r="J149" s="23">
        <v>0.01</v>
      </c>
      <c r="K149" s="41">
        <f t="shared" ref="K149:K153" si="34">I149*J149</f>
        <v>250</v>
      </c>
    </row>
    <row r="150" ht="14.25" customHeight="1">
      <c r="A150" s="22" t="s">
        <v>162</v>
      </c>
      <c r="B150" s="23" t="s">
        <v>23</v>
      </c>
      <c r="C150" s="45">
        <v>165000.0</v>
      </c>
      <c r="D150" s="23">
        <v>0.03</v>
      </c>
      <c r="E150" s="41">
        <f t="shared" si="33"/>
        <v>4950</v>
      </c>
      <c r="F150" s="162"/>
      <c r="G150" s="22" t="s">
        <v>165</v>
      </c>
      <c r="H150" s="23" t="s">
        <v>166</v>
      </c>
      <c r="I150" s="45">
        <v>1000.0</v>
      </c>
      <c r="J150" s="23">
        <v>1.0</v>
      </c>
      <c r="K150" s="41">
        <f t="shared" si="34"/>
        <v>1000</v>
      </c>
    </row>
    <row r="151" ht="14.25" customHeight="1">
      <c r="A151" s="22" t="s">
        <v>276</v>
      </c>
      <c r="B151" s="23" t="s">
        <v>23</v>
      </c>
      <c r="C151" s="45">
        <v>25000.0</v>
      </c>
      <c r="D151" s="23">
        <v>0.01</v>
      </c>
      <c r="E151" s="41">
        <f t="shared" si="33"/>
        <v>250</v>
      </c>
      <c r="G151" s="22" t="s">
        <v>167</v>
      </c>
      <c r="H151" s="23" t="s">
        <v>23</v>
      </c>
      <c r="I151" s="45">
        <v>22000.0</v>
      </c>
      <c r="J151" s="23">
        <v>0.01</v>
      </c>
      <c r="K151" s="41">
        <f t="shared" si="34"/>
        <v>220</v>
      </c>
    </row>
    <row r="152" ht="14.25" customHeight="1">
      <c r="A152" s="53" t="s">
        <v>39</v>
      </c>
      <c r="B152" s="55"/>
      <c r="C152" s="56">
        <v>2000.0</v>
      </c>
      <c r="D152" s="55">
        <v>1.0</v>
      </c>
      <c r="E152" s="41">
        <f t="shared" si="33"/>
        <v>2000</v>
      </c>
      <c r="G152" s="22" t="s">
        <v>160</v>
      </c>
      <c r="H152" s="23" t="s">
        <v>23</v>
      </c>
      <c r="I152" s="45">
        <v>45000.0</v>
      </c>
      <c r="J152" s="23">
        <v>0.05</v>
      </c>
      <c r="K152" s="41">
        <f t="shared" si="34"/>
        <v>2250</v>
      </c>
    </row>
    <row r="153" ht="14.25" customHeight="1">
      <c r="A153" s="131" t="s">
        <v>51</v>
      </c>
      <c r="B153" s="62"/>
      <c r="C153" s="64"/>
      <c r="D153" s="62"/>
      <c r="E153" s="66">
        <f>SUM(E149:E152)</f>
        <v>8100</v>
      </c>
      <c r="G153" s="53" t="s">
        <v>39</v>
      </c>
      <c r="H153" s="55"/>
      <c r="I153" s="56">
        <v>2000.0</v>
      </c>
      <c r="J153" s="55">
        <v>1.0</v>
      </c>
      <c r="K153" s="41">
        <f t="shared" si="34"/>
        <v>2000</v>
      </c>
    </row>
    <row r="154" ht="14.25" customHeight="1">
      <c r="G154" s="60" t="s">
        <v>51</v>
      </c>
      <c r="H154" s="62"/>
      <c r="I154" s="64"/>
      <c r="J154" s="62"/>
      <c r="K154" s="66">
        <f>SUM(K149:K153)</f>
        <v>5720</v>
      </c>
    </row>
    <row r="155" ht="14.25" customHeight="1">
      <c r="E155" s="164">
        <f>E115+E121+E128+E135+E141+E146+E153</f>
        <v>269500</v>
      </c>
      <c r="F155" s="32">
        <f>375000*2</f>
        <v>750000</v>
      </c>
      <c r="K155" s="112">
        <f>K111+K123+K129+K154</f>
        <v>239170</v>
      </c>
    </row>
    <row r="156" ht="14.25" customHeight="1">
      <c r="A156" s="113" t="s">
        <v>183</v>
      </c>
      <c r="B156" s="114"/>
      <c r="C156" s="115"/>
      <c r="D156" s="114"/>
      <c r="E156" s="116">
        <f>(E153*2)+SUM(E146,E141,E135,E128,E121,E115)</f>
        <v>277600</v>
      </c>
      <c r="F156" s="138"/>
      <c r="G156" s="113" t="s">
        <v>183</v>
      </c>
      <c r="H156" s="114"/>
      <c r="I156" s="115"/>
      <c r="J156" s="114"/>
      <c r="K156" s="118">
        <f>(K154*2)+SUM(K129,K123,K111)</f>
        <v>244890</v>
      </c>
    </row>
    <row r="157" ht="14.25" customHeight="1">
      <c r="A157" s="119" t="s">
        <v>188</v>
      </c>
      <c r="B157" s="3"/>
      <c r="C157" s="3"/>
      <c r="D157" s="6"/>
      <c r="E157" s="120">
        <f>E156/F155</f>
        <v>0.3701333333</v>
      </c>
      <c r="F157" s="121"/>
      <c r="G157" s="119" t="s">
        <v>188</v>
      </c>
      <c r="H157" s="3"/>
      <c r="I157" s="3"/>
      <c r="J157" s="6"/>
      <c r="K157" s="120">
        <f>K156/F155</f>
        <v>0.32652</v>
      </c>
    </row>
    <row r="158" ht="14.25" customHeight="1">
      <c r="A158" s="5" t="s">
        <v>308</v>
      </c>
      <c r="B158" s="8"/>
      <c r="C158" s="8"/>
      <c r="D158" s="8"/>
      <c r="E158" s="8"/>
      <c r="F158" s="8"/>
      <c r="G158" s="8"/>
      <c r="H158" s="8"/>
      <c r="I158" s="8"/>
      <c r="J158" s="8"/>
      <c r="K158" s="11"/>
    </row>
    <row r="159" ht="14.25" customHeight="1">
      <c r="A159" s="16" t="s">
        <v>12</v>
      </c>
      <c r="B159" s="18"/>
      <c r="C159" s="18"/>
      <c r="D159" s="18"/>
      <c r="E159" s="19"/>
      <c r="F159" s="85"/>
      <c r="G159" s="28" t="s">
        <v>192</v>
      </c>
      <c r="H159" s="29"/>
      <c r="I159" s="29"/>
      <c r="J159" s="29"/>
      <c r="K159" s="30"/>
    </row>
    <row r="160" ht="14.25" customHeight="1"/>
    <row r="161" ht="14.25" customHeight="1">
      <c r="A161" s="69" t="s">
        <v>303</v>
      </c>
      <c r="B161" s="3"/>
      <c r="C161" s="3"/>
      <c r="D161" s="3"/>
      <c r="E161" s="14"/>
      <c r="G161" s="69" t="s">
        <v>303</v>
      </c>
      <c r="H161" s="3"/>
      <c r="I161" s="3"/>
      <c r="J161" s="3"/>
      <c r="K161" s="14"/>
    </row>
    <row r="162" ht="14.25" customHeight="1">
      <c r="A162" s="165" t="s">
        <v>309</v>
      </c>
      <c r="B162" s="72" t="s">
        <v>5</v>
      </c>
      <c r="C162" s="73">
        <v>15075.0</v>
      </c>
      <c r="D162" s="72">
        <v>1.0</v>
      </c>
      <c r="E162" s="75">
        <f t="shared" ref="E162:E165" si="35">C162*D162</f>
        <v>15075</v>
      </c>
      <c r="G162" s="165" t="s">
        <v>309</v>
      </c>
      <c r="H162" s="72" t="s">
        <v>5</v>
      </c>
      <c r="I162" s="73">
        <v>15075.0</v>
      </c>
      <c r="J162" s="72">
        <v>1.0</v>
      </c>
      <c r="K162" s="75">
        <f t="shared" ref="K162:K165" si="36">I162*J162</f>
        <v>15075</v>
      </c>
    </row>
    <row r="163" ht="14.25" customHeight="1">
      <c r="A163" s="165" t="s">
        <v>311</v>
      </c>
      <c r="B163" s="72" t="s">
        <v>5</v>
      </c>
      <c r="C163" s="73">
        <v>14200.0</v>
      </c>
      <c r="D163" s="72">
        <v>1.0</v>
      </c>
      <c r="E163" s="75">
        <f t="shared" si="35"/>
        <v>14200</v>
      </c>
      <c r="G163" s="165" t="s">
        <v>311</v>
      </c>
      <c r="H163" s="72" t="s">
        <v>5</v>
      </c>
      <c r="I163" s="73">
        <v>14200.0</v>
      </c>
      <c r="J163" s="72">
        <v>1.0</v>
      </c>
      <c r="K163" s="75">
        <f t="shared" si="36"/>
        <v>14200</v>
      </c>
    </row>
    <row r="164" ht="14.25" customHeight="1">
      <c r="A164" s="165" t="s">
        <v>312</v>
      </c>
      <c r="B164" s="72" t="s">
        <v>5</v>
      </c>
      <c r="C164" s="73">
        <v>21275.0</v>
      </c>
      <c r="D164" s="72">
        <v>1.0</v>
      </c>
      <c r="E164" s="75">
        <f t="shared" si="35"/>
        <v>21275</v>
      </c>
      <c r="G164" s="165" t="s">
        <v>312</v>
      </c>
      <c r="H164" s="72" t="s">
        <v>5</v>
      </c>
      <c r="I164" s="73">
        <v>21275.0</v>
      </c>
      <c r="J164" s="72">
        <v>1.0</v>
      </c>
      <c r="K164" s="75">
        <f t="shared" si="36"/>
        <v>21275</v>
      </c>
    </row>
    <row r="165" ht="14.25" customHeight="1">
      <c r="A165" s="165" t="s">
        <v>313</v>
      </c>
      <c r="B165" s="72" t="s">
        <v>5</v>
      </c>
      <c r="C165" s="73">
        <v>9100.0</v>
      </c>
      <c r="D165" s="72">
        <v>1.0</v>
      </c>
      <c r="E165" s="75">
        <f t="shared" si="35"/>
        <v>9100</v>
      </c>
      <c r="G165" s="165" t="s">
        <v>313</v>
      </c>
      <c r="H165" s="72" t="s">
        <v>5</v>
      </c>
      <c r="I165" s="73">
        <v>9100.0</v>
      </c>
      <c r="J165" s="72">
        <v>1.0</v>
      </c>
      <c r="K165" s="75">
        <f t="shared" si="36"/>
        <v>9100</v>
      </c>
    </row>
    <row r="166" ht="14.25" customHeight="1">
      <c r="A166" s="165"/>
      <c r="B166" s="72"/>
      <c r="C166" s="73"/>
      <c r="D166" s="72"/>
      <c r="E166" s="75"/>
      <c r="G166" s="165"/>
      <c r="H166" s="72"/>
      <c r="I166" s="73"/>
      <c r="J166" s="72"/>
      <c r="K166" s="75"/>
    </row>
    <row r="167" ht="14.25" customHeight="1">
      <c r="A167" s="76" t="s">
        <v>39</v>
      </c>
      <c r="B167" s="77"/>
      <c r="C167" s="78">
        <v>8000.0</v>
      </c>
      <c r="D167" s="77">
        <v>1.0</v>
      </c>
      <c r="E167" s="75">
        <f>C167*D167</f>
        <v>8000</v>
      </c>
      <c r="G167" s="76" t="s">
        <v>39</v>
      </c>
      <c r="H167" s="77"/>
      <c r="I167" s="78">
        <v>8000.0</v>
      </c>
      <c r="J167" s="77">
        <v>1.0</v>
      </c>
      <c r="K167" s="75">
        <f>I167*J167</f>
        <v>8000</v>
      </c>
    </row>
    <row r="168" ht="14.25" customHeight="1">
      <c r="A168" s="80" t="s">
        <v>51</v>
      </c>
      <c r="B168" s="82"/>
      <c r="C168" s="83"/>
      <c r="D168" s="82"/>
      <c r="E168" s="84">
        <f>SUM(E162:E167)</f>
        <v>67650</v>
      </c>
      <c r="G168" s="80" t="s">
        <v>51</v>
      </c>
      <c r="H168" s="82"/>
      <c r="I168" s="83"/>
      <c r="J168" s="82"/>
      <c r="K168" s="84">
        <f>SUM(K162:K167)</f>
        <v>67650</v>
      </c>
    </row>
    <row r="169" ht="14.25" customHeight="1"/>
    <row r="170" ht="14.25" customHeight="1">
      <c r="A170" s="60"/>
      <c r="B170" s="62"/>
      <c r="C170" s="64"/>
      <c r="D170" s="62"/>
      <c r="E170" s="66"/>
    </row>
    <row r="171" ht="14.25" customHeight="1">
      <c r="A171" s="33" t="s">
        <v>285</v>
      </c>
      <c r="B171" s="3"/>
      <c r="C171" s="3"/>
      <c r="D171" s="3"/>
      <c r="E171" s="3"/>
      <c r="G171" s="33" t="s">
        <v>317</v>
      </c>
      <c r="H171" s="3"/>
      <c r="I171" s="3"/>
      <c r="J171" s="3"/>
      <c r="K171" s="3"/>
    </row>
    <row r="172" ht="14.25" customHeight="1">
      <c r="A172" s="22" t="s">
        <v>289</v>
      </c>
      <c r="B172" s="23" t="s">
        <v>290</v>
      </c>
      <c r="C172" s="35">
        <v>7268.0</v>
      </c>
      <c r="D172" s="23">
        <v>1.0</v>
      </c>
      <c r="E172" s="41">
        <f t="shared" ref="E172:E175" si="37">C172*D172</f>
        <v>7268</v>
      </c>
      <c r="G172" s="22" t="s">
        <v>83</v>
      </c>
      <c r="H172" s="23" t="s">
        <v>318</v>
      </c>
      <c r="I172" s="35">
        <v>94373.0</v>
      </c>
      <c r="J172" s="23">
        <v>1.0</v>
      </c>
      <c r="K172" s="41">
        <f t="shared" ref="K172:K175" si="38">I172*J172</f>
        <v>94373</v>
      </c>
    </row>
    <row r="173" ht="14.25" customHeight="1">
      <c r="A173" s="22" t="s">
        <v>288</v>
      </c>
      <c r="B173" s="23" t="s">
        <v>23</v>
      </c>
      <c r="C173" s="35">
        <v>19800.0</v>
      </c>
      <c r="D173" s="23">
        <v>0.4</v>
      </c>
      <c r="E173" s="41">
        <f t="shared" si="37"/>
        <v>7920</v>
      </c>
      <c r="G173" s="22" t="s">
        <v>288</v>
      </c>
      <c r="H173" s="23" t="s">
        <v>23</v>
      </c>
      <c r="I173" s="35">
        <v>20775.0</v>
      </c>
      <c r="J173" s="23">
        <v>0.2</v>
      </c>
      <c r="K173" s="41">
        <f t="shared" si="38"/>
        <v>4155</v>
      </c>
    </row>
    <row r="174" ht="14.25" customHeight="1">
      <c r="A174" s="22" t="s">
        <v>48</v>
      </c>
      <c r="B174" s="23" t="s">
        <v>23</v>
      </c>
      <c r="C174" s="35">
        <v>120000.0</v>
      </c>
      <c r="D174" s="23">
        <v>0.6</v>
      </c>
      <c r="E174" s="41">
        <f t="shared" si="37"/>
        <v>72000</v>
      </c>
      <c r="G174" s="22" t="s">
        <v>319</v>
      </c>
      <c r="H174" s="23" t="s">
        <v>290</v>
      </c>
      <c r="I174" s="35">
        <v>5522.0</v>
      </c>
      <c r="J174" s="23">
        <v>1.0</v>
      </c>
      <c r="K174" s="41">
        <f t="shared" si="38"/>
        <v>5522</v>
      </c>
    </row>
    <row r="175" ht="14.25" customHeight="1">
      <c r="A175" s="53" t="s">
        <v>39</v>
      </c>
      <c r="B175" s="55"/>
      <c r="C175" s="56">
        <v>6000.0</v>
      </c>
      <c r="D175" s="55">
        <v>1.0</v>
      </c>
      <c r="E175" s="41">
        <f t="shared" si="37"/>
        <v>6000</v>
      </c>
      <c r="G175" s="53" t="s">
        <v>39</v>
      </c>
      <c r="H175" s="55"/>
      <c r="I175" s="56">
        <v>10000.0</v>
      </c>
      <c r="J175" s="55">
        <v>1.0</v>
      </c>
      <c r="K175" s="41">
        <f t="shared" si="38"/>
        <v>10000</v>
      </c>
    </row>
    <row r="176" ht="14.25" customHeight="1">
      <c r="A176" s="131" t="s">
        <v>51</v>
      </c>
      <c r="B176" s="62"/>
      <c r="C176" s="64"/>
      <c r="D176" s="62"/>
      <c r="E176" s="66">
        <f>SUM(E172:E175)</f>
        <v>93188</v>
      </c>
      <c r="G176" s="60" t="s">
        <v>51</v>
      </c>
      <c r="H176" s="62"/>
      <c r="I176" s="64"/>
      <c r="J176" s="62"/>
      <c r="K176" s="66">
        <f>SUM(K172:K175)</f>
        <v>114050</v>
      </c>
    </row>
    <row r="177" ht="14.25" customHeight="1"/>
    <row r="178" ht="14.25" customHeight="1">
      <c r="A178" s="33" t="s">
        <v>320</v>
      </c>
      <c r="B178" s="3"/>
      <c r="C178" s="3"/>
      <c r="D178" s="3"/>
      <c r="E178" s="3"/>
      <c r="G178" s="33" t="s">
        <v>321</v>
      </c>
      <c r="H178" s="3"/>
      <c r="I178" s="3"/>
      <c r="J178" s="3"/>
      <c r="K178" s="3"/>
    </row>
    <row r="179" ht="14.25" customHeight="1">
      <c r="A179" s="108" t="s">
        <v>29</v>
      </c>
      <c r="B179" s="109" t="s">
        <v>23</v>
      </c>
      <c r="C179" s="35">
        <v>33333.0</v>
      </c>
      <c r="D179" s="109">
        <v>0.2</v>
      </c>
      <c r="E179" s="41">
        <f t="shared" ref="E179:E185" si="39">C179*D179</f>
        <v>6666.6</v>
      </c>
      <c r="G179" s="108" t="s">
        <v>280</v>
      </c>
      <c r="H179" s="109" t="s">
        <v>23</v>
      </c>
      <c r="I179" s="35">
        <v>16736.0</v>
      </c>
      <c r="J179" s="109">
        <v>0.5</v>
      </c>
      <c r="K179" s="41">
        <f t="shared" ref="K179:K184" si="40">I179*J179</f>
        <v>8368</v>
      </c>
    </row>
    <row r="180" ht="14.25" customHeight="1">
      <c r="A180" s="108" t="s">
        <v>280</v>
      </c>
      <c r="B180" s="109" t="s">
        <v>23</v>
      </c>
      <c r="C180" s="35">
        <v>16736.0</v>
      </c>
      <c r="D180" s="109">
        <v>0.5</v>
      </c>
      <c r="E180" s="41">
        <f t="shared" si="39"/>
        <v>8368</v>
      </c>
      <c r="G180" s="108" t="s">
        <v>229</v>
      </c>
      <c r="H180" s="109" t="s">
        <v>23</v>
      </c>
      <c r="I180" s="45">
        <v>230000.0</v>
      </c>
      <c r="J180" s="109">
        <v>0.5</v>
      </c>
      <c r="K180" s="41">
        <f t="shared" si="40"/>
        <v>115000</v>
      </c>
    </row>
    <row r="181" ht="14.25" customHeight="1">
      <c r="A181" s="108" t="s">
        <v>199</v>
      </c>
      <c r="B181" s="109" t="s">
        <v>23</v>
      </c>
      <c r="C181" s="35">
        <v>5766.0</v>
      </c>
      <c r="D181" s="109">
        <v>0.1</v>
      </c>
      <c r="E181" s="41">
        <f t="shared" si="39"/>
        <v>576.6</v>
      </c>
      <c r="G181" s="108" t="s">
        <v>324</v>
      </c>
      <c r="H181" s="109" t="s">
        <v>23</v>
      </c>
      <c r="I181" s="35">
        <v>24565.0</v>
      </c>
      <c r="J181" s="109">
        <v>0.15</v>
      </c>
      <c r="K181" s="41">
        <f t="shared" si="40"/>
        <v>3684.75</v>
      </c>
    </row>
    <row r="182" ht="14.25" customHeight="1">
      <c r="A182" s="108" t="s">
        <v>18</v>
      </c>
      <c r="B182" s="109" t="s">
        <v>23</v>
      </c>
      <c r="C182" s="35">
        <v>12049.0</v>
      </c>
      <c r="D182" s="109">
        <v>0.1</v>
      </c>
      <c r="E182" s="41">
        <f t="shared" si="39"/>
        <v>1204.9</v>
      </c>
      <c r="G182" s="108" t="s">
        <v>18</v>
      </c>
      <c r="H182" s="109" t="s">
        <v>23</v>
      </c>
      <c r="I182" s="35">
        <v>12049.0</v>
      </c>
      <c r="J182" s="109">
        <v>0.15</v>
      </c>
      <c r="K182" s="41">
        <f t="shared" si="40"/>
        <v>1807.35</v>
      </c>
    </row>
    <row r="183" ht="14.25" customHeight="1">
      <c r="A183" s="108" t="s">
        <v>325</v>
      </c>
      <c r="B183" s="109" t="s">
        <v>23</v>
      </c>
      <c r="C183" s="35">
        <v>150000.0</v>
      </c>
      <c r="D183" s="109">
        <v>0.7</v>
      </c>
      <c r="E183" s="41">
        <f t="shared" si="39"/>
        <v>105000</v>
      </c>
      <c r="G183" s="108" t="s">
        <v>29</v>
      </c>
      <c r="H183" s="109" t="s">
        <v>23</v>
      </c>
      <c r="I183" s="35">
        <v>33333.0</v>
      </c>
      <c r="J183" s="109">
        <v>0.1</v>
      </c>
      <c r="K183" s="41">
        <f t="shared" si="40"/>
        <v>3333.3</v>
      </c>
    </row>
    <row r="184" ht="14.25" customHeight="1">
      <c r="A184" s="108" t="s">
        <v>324</v>
      </c>
      <c r="B184" s="109" t="s">
        <v>23</v>
      </c>
      <c r="C184" s="35">
        <v>24565.0</v>
      </c>
      <c r="D184" s="109">
        <v>0.1</v>
      </c>
      <c r="E184" s="41">
        <f t="shared" si="39"/>
        <v>2456.5</v>
      </c>
      <c r="G184" s="53" t="s">
        <v>39</v>
      </c>
      <c r="H184" s="55"/>
      <c r="I184" s="56">
        <v>12000.0</v>
      </c>
      <c r="J184" s="55">
        <v>1.0</v>
      </c>
      <c r="K184" s="41">
        <f t="shared" si="40"/>
        <v>12000</v>
      </c>
    </row>
    <row r="185" ht="14.25" customHeight="1">
      <c r="A185" s="53" t="s">
        <v>39</v>
      </c>
      <c r="B185" s="55"/>
      <c r="C185" s="56">
        <v>12000.0</v>
      </c>
      <c r="D185" s="55">
        <v>1.0</v>
      </c>
      <c r="E185" s="41">
        <f t="shared" si="39"/>
        <v>12000</v>
      </c>
      <c r="G185" s="60" t="s">
        <v>51</v>
      </c>
      <c r="H185" s="62"/>
      <c r="I185" s="64"/>
      <c r="J185" s="62"/>
      <c r="K185" s="66">
        <f>SUM(K179:K184)</f>
        <v>144193.4</v>
      </c>
    </row>
    <row r="186" ht="14.25" customHeight="1">
      <c r="A186" s="60" t="s">
        <v>51</v>
      </c>
      <c r="B186" s="62"/>
      <c r="C186" s="64"/>
      <c r="D186" s="62"/>
      <c r="E186" s="66">
        <f>SUM(E179:E185)</f>
        <v>136272.6</v>
      </c>
    </row>
    <row r="187" ht="14.25" customHeight="1"/>
    <row r="188" ht="14.25" customHeight="1">
      <c r="A188" s="33" t="s">
        <v>326</v>
      </c>
      <c r="B188" s="3"/>
      <c r="C188" s="3"/>
      <c r="D188" s="3"/>
      <c r="E188" s="3"/>
      <c r="G188" s="33" t="s">
        <v>327</v>
      </c>
      <c r="H188" s="3"/>
      <c r="I188" s="3"/>
      <c r="J188" s="3"/>
      <c r="K188" s="3"/>
    </row>
    <row r="189" ht="14.25" customHeight="1">
      <c r="A189" s="108" t="s">
        <v>328</v>
      </c>
      <c r="B189" s="109" t="s">
        <v>329</v>
      </c>
      <c r="C189" s="45">
        <v>5000.0</v>
      </c>
      <c r="D189" s="174">
        <v>1.0</v>
      </c>
      <c r="E189" s="41">
        <f t="shared" ref="E189:E190" si="41">C189*D189</f>
        <v>5000</v>
      </c>
      <c r="F189" s="128"/>
      <c r="G189" s="23" t="s">
        <v>209</v>
      </c>
      <c r="H189" s="23" t="s">
        <v>23</v>
      </c>
      <c r="I189" s="35">
        <v>22119.0</v>
      </c>
      <c r="J189" s="23">
        <v>0.2</v>
      </c>
      <c r="K189" s="41">
        <f t="shared" ref="K189:K191" si="42">I189*J189</f>
        <v>4423.8</v>
      </c>
    </row>
    <row r="190" ht="14.25" customHeight="1">
      <c r="A190" s="53" t="s">
        <v>330</v>
      </c>
      <c r="B190" s="55"/>
      <c r="C190" s="175">
        <v>1000.0</v>
      </c>
      <c r="D190" s="55">
        <v>1.0</v>
      </c>
      <c r="E190" s="41">
        <f t="shared" si="41"/>
        <v>1000</v>
      </c>
      <c r="G190" s="23" t="s">
        <v>280</v>
      </c>
      <c r="H190" s="23" t="s">
        <v>23</v>
      </c>
      <c r="I190" s="35">
        <v>16736.0</v>
      </c>
      <c r="J190" s="23">
        <v>0.2</v>
      </c>
      <c r="K190" s="41">
        <f t="shared" si="42"/>
        <v>3347.2</v>
      </c>
    </row>
    <row r="191" ht="14.25" customHeight="1">
      <c r="A191" s="60" t="s">
        <v>51</v>
      </c>
      <c r="B191" s="62"/>
      <c r="C191" s="64"/>
      <c r="D191" s="62"/>
      <c r="E191" s="66">
        <f>SUM(E189:E190)</f>
        <v>6000</v>
      </c>
      <c r="G191" s="23" t="s">
        <v>331</v>
      </c>
      <c r="H191" s="23" t="s">
        <v>23</v>
      </c>
      <c r="I191" s="35">
        <v>12791.0</v>
      </c>
      <c r="J191" s="23">
        <v>0.2</v>
      </c>
      <c r="K191" s="41">
        <f t="shared" si="42"/>
        <v>2558.2</v>
      </c>
    </row>
    <row r="192" ht="14.25" customHeight="1">
      <c r="F192" s="32">
        <f>455000*2</f>
        <v>910000</v>
      </c>
      <c r="G192" s="60" t="s">
        <v>51</v>
      </c>
      <c r="H192" s="62"/>
      <c r="I192" s="64"/>
      <c r="J192" s="62"/>
      <c r="K192" s="66">
        <f>SUM(K189:K191)</f>
        <v>10329.2</v>
      </c>
    </row>
    <row r="193" ht="14.25" customHeight="1">
      <c r="A193" s="113" t="s">
        <v>183</v>
      </c>
      <c r="B193" s="114"/>
      <c r="C193" s="115"/>
      <c r="D193" s="114"/>
      <c r="E193" s="116">
        <f>SUM(E191,E186,E176,E168)</f>
        <v>303110.6</v>
      </c>
      <c r="F193" s="128"/>
      <c r="G193" s="113" t="s">
        <v>183</v>
      </c>
      <c r="H193" s="114"/>
      <c r="I193" s="115"/>
      <c r="J193" s="114"/>
      <c r="K193" s="118">
        <f>SUM(K192,K185,K176,K168)</f>
        <v>336222.6</v>
      </c>
    </row>
    <row r="194" ht="14.25" customHeight="1">
      <c r="A194" s="119" t="s">
        <v>188</v>
      </c>
      <c r="B194" s="3"/>
      <c r="C194" s="3"/>
      <c r="D194" s="6"/>
      <c r="E194" s="120">
        <f>E193/F192</f>
        <v>0.3330885714</v>
      </c>
      <c r="F194" s="121"/>
      <c r="G194" s="119" t="s">
        <v>188</v>
      </c>
      <c r="H194" s="3"/>
      <c r="I194" s="3"/>
      <c r="J194" s="6"/>
      <c r="K194" s="146">
        <f>K193/F192</f>
        <v>0.3694753846</v>
      </c>
    </row>
    <row r="195" ht="14.25" customHeight="1">
      <c r="E195" s="176"/>
      <c r="F195" s="177"/>
      <c r="K195" s="176"/>
    </row>
    <row r="196" ht="14.25" customHeight="1"/>
    <row r="197" ht="14.25" customHeight="1">
      <c r="A197" s="5" t="s">
        <v>332</v>
      </c>
      <c r="B197" s="8"/>
      <c r="C197" s="8"/>
      <c r="D197" s="8"/>
      <c r="E197" s="8"/>
      <c r="F197" s="8"/>
      <c r="G197" s="8"/>
      <c r="H197" s="8"/>
      <c r="I197" s="8"/>
      <c r="J197" s="8"/>
      <c r="K197" s="11"/>
    </row>
    <row r="198" ht="14.25" customHeight="1"/>
    <row r="199" ht="14.25" customHeight="1">
      <c r="A199" s="16" t="s">
        <v>12</v>
      </c>
      <c r="B199" s="18"/>
      <c r="C199" s="18"/>
      <c r="D199" s="18"/>
      <c r="E199" s="19"/>
      <c r="G199" s="28" t="s">
        <v>30</v>
      </c>
      <c r="H199" s="29"/>
      <c r="I199" s="29"/>
      <c r="J199" s="29"/>
      <c r="K199" s="30"/>
    </row>
    <row r="200" ht="14.25" customHeight="1">
      <c r="A200" s="33" t="s">
        <v>333</v>
      </c>
      <c r="B200" s="3"/>
      <c r="C200" s="3"/>
      <c r="D200" s="3"/>
      <c r="E200" s="3"/>
      <c r="G200" s="33" t="s">
        <v>334</v>
      </c>
      <c r="H200" s="3"/>
      <c r="I200" s="3"/>
      <c r="J200" s="3"/>
      <c r="K200" s="3"/>
    </row>
    <row r="201" ht="14.25" customHeight="1">
      <c r="A201" s="22" t="s">
        <v>335</v>
      </c>
      <c r="B201" s="23" t="s">
        <v>23</v>
      </c>
      <c r="C201" s="45">
        <v>0.0</v>
      </c>
      <c r="D201" s="23">
        <v>1.0</v>
      </c>
      <c r="E201" s="41">
        <f t="shared" ref="E201:E203" si="43">C201*D201</f>
        <v>0</v>
      </c>
      <c r="F201" s="178"/>
      <c r="G201" s="108" t="s">
        <v>337</v>
      </c>
      <c r="H201" s="109" t="s">
        <v>74</v>
      </c>
      <c r="I201" s="35">
        <v>3000.0</v>
      </c>
      <c r="J201" s="109">
        <v>1.0</v>
      </c>
      <c r="K201" s="41">
        <f t="shared" ref="K201:K203" si="44">I201*J201</f>
        <v>3000</v>
      </c>
    </row>
    <row r="202" ht="14.25" customHeight="1">
      <c r="A202" s="22" t="s">
        <v>338</v>
      </c>
      <c r="B202" s="23" t="s">
        <v>74</v>
      </c>
      <c r="C202" s="35">
        <v>3000.0</v>
      </c>
      <c r="D202" s="23">
        <v>1.0</v>
      </c>
      <c r="E202" s="41">
        <f t="shared" si="43"/>
        <v>3000</v>
      </c>
      <c r="G202" s="108" t="s">
        <v>199</v>
      </c>
      <c r="H202" s="109" t="s">
        <v>23</v>
      </c>
      <c r="I202" s="35">
        <v>7000.0</v>
      </c>
      <c r="J202" s="109">
        <v>0.75</v>
      </c>
      <c r="K202" s="41">
        <f t="shared" si="44"/>
        <v>5250</v>
      </c>
    </row>
    <row r="203" ht="14.25" customHeight="1">
      <c r="A203" s="22" t="s">
        <v>298</v>
      </c>
      <c r="B203" s="23" t="s">
        <v>8</v>
      </c>
      <c r="C203" s="35">
        <v>75000.0</v>
      </c>
      <c r="D203" s="23">
        <v>0.2</v>
      </c>
      <c r="E203" s="41">
        <f t="shared" si="43"/>
        <v>15000</v>
      </c>
      <c r="G203" s="53" t="s">
        <v>39</v>
      </c>
      <c r="H203" s="55"/>
      <c r="I203" s="56">
        <v>6000.0</v>
      </c>
      <c r="J203" s="55">
        <v>1.0</v>
      </c>
      <c r="K203" s="41">
        <f t="shared" si="44"/>
        <v>6000</v>
      </c>
    </row>
    <row r="204" ht="14.25" customHeight="1">
      <c r="A204" s="22"/>
      <c r="B204" s="23" t="s">
        <v>23</v>
      </c>
      <c r="C204" s="35"/>
      <c r="D204" s="23"/>
      <c r="E204" s="41"/>
      <c r="G204" s="60" t="s">
        <v>51</v>
      </c>
      <c r="H204" s="125"/>
      <c r="I204" s="126"/>
      <c r="J204" s="125"/>
      <c r="K204" s="127">
        <f>SUM(K201:K203)</f>
        <v>14250</v>
      </c>
    </row>
    <row r="205" ht="14.25" customHeight="1">
      <c r="A205" s="53" t="s">
        <v>39</v>
      </c>
      <c r="B205" s="55"/>
      <c r="C205" s="56">
        <v>6000.0</v>
      </c>
      <c r="D205" s="55">
        <v>1.0</v>
      </c>
      <c r="E205" s="41">
        <f>C205*D205</f>
        <v>6000</v>
      </c>
    </row>
    <row r="206" ht="14.25" customHeight="1">
      <c r="A206" s="60" t="s">
        <v>51</v>
      </c>
      <c r="B206" s="62"/>
      <c r="C206" s="64"/>
      <c r="D206" s="62"/>
      <c r="E206" s="66">
        <f>SUM(E201:E205)</f>
        <v>24000</v>
      </c>
    </row>
    <row r="207" ht="14.25" customHeight="1"/>
    <row r="208" ht="14.25" customHeight="1">
      <c r="A208" s="33" t="s">
        <v>341</v>
      </c>
      <c r="B208" s="3"/>
      <c r="C208" s="3"/>
      <c r="D208" s="3"/>
      <c r="E208" s="3"/>
      <c r="G208" s="33" t="s">
        <v>342</v>
      </c>
      <c r="H208" s="3"/>
      <c r="I208" s="3"/>
      <c r="J208" s="3"/>
      <c r="K208" s="3"/>
    </row>
    <row r="209" ht="14.25" customHeight="1">
      <c r="A209" s="108" t="s">
        <v>343</v>
      </c>
      <c r="B209" s="109" t="s">
        <v>176</v>
      </c>
      <c r="C209" s="35">
        <v>3500.0</v>
      </c>
      <c r="D209" s="109">
        <v>1.0</v>
      </c>
      <c r="E209" s="41">
        <f t="shared" ref="E209:E210" si="45">C209*D209</f>
        <v>3500</v>
      </c>
      <c r="G209" s="108" t="s">
        <v>137</v>
      </c>
      <c r="H209" s="109" t="s">
        <v>74</v>
      </c>
      <c r="I209" s="35">
        <v>2300.0</v>
      </c>
      <c r="J209" s="109">
        <v>2.0</v>
      </c>
      <c r="K209" s="41">
        <f t="shared" ref="K209:K211" si="46">I209*J209</f>
        <v>4600</v>
      </c>
    </row>
    <row r="210" ht="14.25" customHeight="1">
      <c r="A210" s="108" t="s">
        <v>344</v>
      </c>
      <c r="B210" s="109" t="s">
        <v>345</v>
      </c>
      <c r="C210" s="35">
        <v>18727.0</v>
      </c>
      <c r="D210" s="109">
        <v>0.05</v>
      </c>
      <c r="E210" s="41">
        <f t="shared" si="45"/>
        <v>936.35</v>
      </c>
      <c r="G210" s="108" t="s">
        <v>216</v>
      </c>
      <c r="H210" s="109" t="s">
        <v>23</v>
      </c>
      <c r="I210" s="35">
        <v>140000.0</v>
      </c>
      <c r="J210" s="109">
        <v>0.2</v>
      </c>
      <c r="K210" s="41">
        <f t="shared" si="46"/>
        <v>28000</v>
      </c>
    </row>
    <row r="211" ht="14.25" customHeight="1">
      <c r="A211" s="108"/>
      <c r="B211" s="109"/>
      <c r="C211" s="35"/>
      <c r="D211" s="109"/>
      <c r="E211" s="41"/>
      <c r="G211" s="53" t="s">
        <v>39</v>
      </c>
      <c r="H211" s="55"/>
      <c r="I211" s="56">
        <v>6000.0</v>
      </c>
      <c r="J211" s="55">
        <v>1.0</v>
      </c>
      <c r="K211" s="41">
        <f t="shared" si="46"/>
        <v>6000</v>
      </c>
    </row>
    <row r="212" ht="14.25" customHeight="1">
      <c r="A212" s="53" t="s">
        <v>39</v>
      </c>
      <c r="B212" s="55"/>
      <c r="C212" s="56">
        <v>6000.0</v>
      </c>
      <c r="D212" s="55">
        <v>1.0</v>
      </c>
      <c r="E212" s="41">
        <f>C212*D212</f>
        <v>6000</v>
      </c>
      <c r="G212" s="60" t="s">
        <v>51</v>
      </c>
      <c r="H212" s="62"/>
      <c r="I212" s="64"/>
      <c r="J212" s="62"/>
      <c r="K212" s="66">
        <f>SUM(K209:K211)</f>
        <v>38600</v>
      </c>
    </row>
    <row r="213" ht="14.25" customHeight="1">
      <c r="A213" s="60" t="s">
        <v>51</v>
      </c>
      <c r="B213" s="62"/>
      <c r="C213" s="64"/>
      <c r="D213" s="62"/>
      <c r="E213" s="66">
        <f>SUM(E209:E212)</f>
        <v>10436.35</v>
      </c>
    </row>
    <row r="214" ht="14.25" customHeight="1"/>
    <row r="215" ht="14.25" customHeight="1">
      <c r="A215" s="33" t="s">
        <v>244</v>
      </c>
      <c r="B215" s="3"/>
      <c r="C215" s="3"/>
      <c r="D215" s="3"/>
      <c r="E215" s="6"/>
      <c r="G215" s="33" t="s">
        <v>347</v>
      </c>
      <c r="H215" s="3"/>
      <c r="I215" s="3"/>
      <c r="J215" s="3"/>
      <c r="K215" s="6"/>
    </row>
    <row r="216" ht="14.25" customHeight="1">
      <c r="A216" s="108" t="s">
        <v>250</v>
      </c>
      <c r="B216" s="109" t="s">
        <v>8</v>
      </c>
      <c r="C216" s="35">
        <v>13503.0</v>
      </c>
      <c r="D216" s="109">
        <v>0.5</v>
      </c>
      <c r="E216" s="155">
        <f t="shared" ref="E216:E217" si="47">C216*D216</f>
        <v>6751.5</v>
      </c>
      <c r="G216" s="108" t="s">
        <v>250</v>
      </c>
      <c r="H216" s="109" t="s">
        <v>8</v>
      </c>
      <c r="I216" s="35">
        <v>13503.0</v>
      </c>
      <c r="J216" s="109">
        <v>0.5</v>
      </c>
      <c r="K216" s="155">
        <f t="shared" ref="K216:K217" si="48">I216*J216</f>
        <v>6751.5</v>
      </c>
    </row>
    <row r="217" ht="14.25" customHeight="1">
      <c r="A217" s="53" t="s">
        <v>39</v>
      </c>
      <c r="B217" s="55"/>
      <c r="C217" s="56">
        <v>6000.0</v>
      </c>
      <c r="D217" s="55">
        <v>1.0</v>
      </c>
      <c r="E217" s="155">
        <f t="shared" si="47"/>
        <v>6000</v>
      </c>
      <c r="G217" s="53" t="s">
        <v>39</v>
      </c>
      <c r="H217" s="55"/>
      <c r="I217" s="56">
        <v>6000.0</v>
      </c>
      <c r="J217" s="55">
        <v>1.0</v>
      </c>
      <c r="K217" s="155">
        <f t="shared" si="48"/>
        <v>6000</v>
      </c>
    </row>
    <row r="218" ht="14.25" customHeight="1">
      <c r="A218" s="157" t="s">
        <v>51</v>
      </c>
      <c r="B218" s="158"/>
      <c r="C218" s="159"/>
      <c r="D218" s="158"/>
      <c r="E218" s="160">
        <f>SUM(E216:E217)</f>
        <v>12751.5</v>
      </c>
      <c r="G218" s="157" t="s">
        <v>51</v>
      </c>
      <c r="H218" s="158"/>
      <c r="I218" s="159"/>
      <c r="J218" s="158"/>
      <c r="K218" s="160">
        <f>SUM(K216:K217)</f>
        <v>12751.5</v>
      </c>
    </row>
    <row r="219" ht="14.25" customHeight="1"/>
    <row r="220" ht="14.25" customHeight="1">
      <c r="A220" s="33" t="s">
        <v>348</v>
      </c>
      <c r="B220" s="3"/>
      <c r="C220" s="3"/>
      <c r="D220" s="3"/>
      <c r="E220" s="6"/>
      <c r="G220" s="33" t="s">
        <v>349</v>
      </c>
      <c r="H220" s="3"/>
      <c r="I220" s="3"/>
      <c r="J220" s="3"/>
      <c r="K220" s="6"/>
    </row>
    <row r="221" ht="14.25" customHeight="1">
      <c r="A221" s="108" t="s">
        <v>350</v>
      </c>
      <c r="B221" s="109" t="s">
        <v>8</v>
      </c>
      <c r="C221" s="35">
        <v>10715.0</v>
      </c>
      <c r="D221" s="109">
        <v>0.7</v>
      </c>
      <c r="E221" s="41">
        <f t="shared" ref="E221:E223" si="49">C221*D221</f>
        <v>7500.5</v>
      </c>
      <c r="G221" s="108" t="s">
        <v>351</v>
      </c>
      <c r="H221" s="109" t="s">
        <v>8</v>
      </c>
      <c r="I221" s="35">
        <v>15592.0</v>
      </c>
      <c r="J221" s="109">
        <v>0.5</v>
      </c>
      <c r="K221" s="41">
        <f t="shared" ref="K221:K223" si="50">I221*J221</f>
        <v>7796</v>
      </c>
    </row>
    <row r="222" ht="14.25" customHeight="1">
      <c r="A222" s="53" t="s">
        <v>352</v>
      </c>
      <c r="B222" s="55" t="s">
        <v>353</v>
      </c>
      <c r="C222" s="56">
        <v>47431.0</v>
      </c>
      <c r="D222" s="55">
        <v>0.2</v>
      </c>
      <c r="E222" s="41">
        <f t="shared" si="49"/>
        <v>9486.2</v>
      </c>
      <c r="G222" s="53" t="s">
        <v>352</v>
      </c>
      <c r="H222" s="55" t="s">
        <v>353</v>
      </c>
      <c r="I222" s="56">
        <v>47431.0</v>
      </c>
      <c r="J222" s="55">
        <v>0.1</v>
      </c>
      <c r="K222" s="41">
        <f t="shared" si="50"/>
        <v>4743.1</v>
      </c>
    </row>
    <row r="223" ht="14.25" customHeight="1">
      <c r="A223" s="53" t="s">
        <v>39</v>
      </c>
      <c r="B223" s="55"/>
      <c r="C223" s="56">
        <v>6000.0</v>
      </c>
      <c r="D223" s="55">
        <v>1.0</v>
      </c>
      <c r="E223" s="41">
        <f t="shared" si="49"/>
        <v>6000</v>
      </c>
      <c r="G223" s="53" t="s">
        <v>39</v>
      </c>
      <c r="H223" s="55"/>
      <c r="I223" s="56">
        <v>6000.0</v>
      </c>
      <c r="J223" s="55">
        <v>1.0</v>
      </c>
      <c r="K223" s="41">
        <f t="shared" si="50"/>
        <v>6000</v>
      </c>
    </row>
    <row r="224" ht="14.25" customHeight="1">
      <c r="A224" s="157" t="s">
        <v>51</v>
      </c>
      <c r="B224" s="40"/>
      <c r="C224" s="67"/>
      <c r="D224" s="40"/>
      <c r="E224" s="179">
        <f>SUM(E221:E223)</f>
        <v>22986.7</v>
      </c>
      <c r="G224" s="157" t="s">
        <v>51</v>
      </c>
      <c r="H224" s="40"/>
      <c r="I224" s="67"/>
      <c r="J224" s="40"/>
      <c r="K224" s="179">
        <f>SUM(K221:K223)</f>
        <v>18539.1</v>
      </c>
    </row>
    <row r="225" ht="14.25" customHeight="1">
      <c r="G225" s="60"/>
      <c r="H225" s="62"/>
      <c r="I225" s="64"/>
      <c r="J225" s="62"/>
      <c r="K225" s="66"/>
    </row>
    <row r="226" ht="14.25" customHeight="1">
      <c r="A226" s="33" t="s">
        <v>355</v>
      </c>
      <c r="B226" s="3"/>
      <c r="C226" s="3"/>
      <c r="D226" s="3"/>
      <c r="E226" s="3"/>
      <c r="G226" s="33" t="s">
        <v>279</v>
      </c>
      <c r="H226" s="3"/>
      <c r="I226" s="3"/>
      <c r="J226" s="3"/>
      <c r="K226" s="3"/>
    </row>
    <row r="227" ht="14.25" customHeight="1">
      <c r="A227" s="108" t="s">
        <v>21</v>
      </c>
      <c r="B227" s="109" t="s">
        <v>8</v>
      </c>
      <c r="C227" s="35">
        <v>18000.0</v>
      </c>
      <c r="D227" s="109">
        <v>0.4</v>
      </c>
      <c r="E227" s="41">
        <f t="shared" ref="E227:E229" si="51">C227*D227</f>
        <v>7200</v>
      </c>
      <c r="G227" s="108" t="s">
        <v>137</v>
      </c>
      <c r="H227" s="109" t="s">
        <v>74</v>
      </c>
      <c r="I227" s="35">
        <v>2300.0</v>
      </c>
      <c r="J227" s="109">
        <v>2.0</v>
      </c>
      <c r="K227" s="41">
        <f t="shared" ref="K227:K230" si="52">I227*J227</f>
        <v>4600</v>
      </c>
    </row>
    <row r="228" ht="14.25" customHeight="1">
      <c r="A228" s="108" t="s">
        <v>357</v>
      </c>
      <c r="B228" s="109" t="s">
        <v>23</v>
      </c>
      <c r="C228" s="35">
        <v>47000.0</v>
      </c>
      <c r="D228" s="109">
        <v>0.15</v>
      </c>
      <c r="E228" s="41">
        <f t="shared" si="51"/>
        <v>7050</v>
      </c>
      <c r="G228" s="108" t="s">
        <v>358</v>
      </c>
      <c r="H228" s="109" t="s">
        <v>23</v>
      </c>
      <c r="I228" s="35">
        <v>12000.0</v>
      </c>
      <c r="J228" s="109">
        <v>0.2</v>
      </c>
      <c r="K228" s="41">
        <f t="shared" si="52"/>
        <v>2400</v>
      </c>
    </row>
    <row r="229" ht="14.25" customHeight="1">
      <c r="A229" s="53" t="s">
        <v>39</v>
      </c>
      <c r="B229" s="55"/>
      <c r="C229" s="56">
        <v>6000.0</v>
      </c>
      <c r="D229" s="55">
        <v>1.0</v>
      </c>
      <c r="E229" s="41">
        <f t="shared" si="51"/>
        <v>6000</v>
      </c>
      <c r="G229" s="108" t="s">
        <v>359</v>
      </c>
      <c r="H229" s="109" t="s">
        <v>23</v>
      </c>
      <c r="I229" s="35">
        <v>20000.0</v>
      </c>
      <c r="J229" s="109">
        <v>0.1</v>
      </c>
      <c r="K229" s="41">
        <f t="shared" si="52"/>
        <v>2000</v>
      </c>
    </row>
    <row r="230" ht="14.25" customHeight="1">
      <c r="A230" s="60" t="s">
        <v>51</v>
      </c>
      <c r="B230" s="62"/>
      <c r="C230" s="64"/>
      <c r="D230" s="62"/>
      <c r="E230" s="66">
        <f>SUM(E227:E229)</f>
        <v>20250</v>
      </c>
      <c r="G230" s="53" t="s">
        <v>39</v>
      </c>
      <c r="H230" s="55"/>
      <c r="I230" s="56">
        <v>6000.0</v>
      </c>
      <c r="J230" s="55">
        <v>1.0</v>
      </c>
      <c r="K230" s="41">
        <f t="shared" si="52"/>
        <v>6000</v>
      </c>
    </row>
    <row r="231" ht="14.25" customHeight="1">
      <c r="G231" s="60" t="s">
        <v>51</v>
      </c>
      <c r="H231" s="62"/>
      <c r="I231" s="64"/>
      <c r="J231" s="62"/>
      <c r="K231" s="66">
        <f>SUM(K227:K230)</f>
        <v>15000</v>
      </c>
    </row>
    <row r="232" ht="14.25" customHeight="1"/>
    <row r="233" ht="14.25" customHeight="1">
      <c r="A233" s="33" t="s">
        <v>157</v>
      </c>
      <c r="B233" s="3"/>
      <c r="C233" s="3"/>
      <c r="D233" s="3"/>
      <c r="E233" s="3"/>
      <c r="G233" s="33" t="s">
        <v>158</v>
      </c>
      <c r="H233" s="3"/>
      <c r="I233" s="3"/>
      <c r="J233" s="3"/>
      <c r="K233" s="3"/>
    </row>
    <row r="234" ht="14.25" customHeight="1">
      <c r="A234" s="22" t="s">
        <v>160</v>
      </c>
      <c r="B234" s="23" t="s">
        <v>23</v>
      </c>
      <c r="C234" s="45">
        <v>45000.0</v>
      </c>
      <c r="D234" s="23">
        <v>0.02</v>
      </c>
      <c r="E234" s="41">
        <f t="shared" ref="E234:E235" si="53">C234*D234</f>
        <v>900</v>
      </c>
      <c r="G234" s="22"/>
      <c r="H234" s="23"/>
      <c r="I234" s="45"/>
      <c r="J234" s="23"/>
      <c r="K234" s="41"/>
    </row>
    <row r="235" ht="14.25" customHeight="1">
      <c r="A235" s="22" t="s">
        <v>162</v>
      </c>
      <c r="B235" s="23" t="s">
        <v>23</v>
      </c>
      <c r="C235" s="45">
        <v>165000.0</v>
      </c>
      <c r="D235" s="23">
        <v>0.03</v>
      </c>
      <c r="E235" s="41">
        <f t="shared" si="53"/>
        <v>4950</v>
      </c>
      <c r="G235" s="22" t="s">
        <v>165</v>
      </c>
      <c r="H235" s="23" t="s">
        <v>166</v>
      </c>
      <c r="I235" s="45">
        <v>1000.0</v>
      </c>
      <c r="J235" s="23">
        <v>1.0</v>
      </c>
      <c r="K235" s="41">
        <f t="shared" ref="K235:K238" si="54">I235*J235</f>
        <v>1000</v>
      </c>
    </row>
    <row r="236" ht="14.25" customHeight="1">
      <c r="A236" s="22"/>
      <c r="B236" s="23"/>
      <c r="C236" s="45"/>
      <c r="D236" s="23"/>
      <c r="E236" s="41"/>
      <c r="G236" s="22" t="s">
        <v>167</v>
      </c>
      <c r="H236" s="23" t="s">
        <v>23</v>
      </c>
      <c r="I236" s="45">
        <v>22000.0</v>
      </c>
      <c r="J236" s="23">
        <v>0.01</v>
      </c>
      <c r="K236" s="41">
        <f t="shared" si="54"/>
        <v>220</v>
      </c>
    </row>
    <row r="237" ht="14.25" customHeight="1">
      <c r="A237" s="53" t="s">
        <v>39</v>
      </c>
      <c r="B237" s="55"/>
      <c r="C237" s="56">
        <v>2000.0</v>
      </c>
      <c r="D237" s="55">
        <v>1.0</v>
      </c>
      <c r="E237" s="41">
        <f>C237*D237</f>
        <v>2000</v>
      </c>
      <c r="G237" s="22" t="s">
        <v>160</v>
      </c>
      <c r="H237" s="23" t="s">
        <v>23</v>
      </c>
      <c r="I237" s="45">
        <v>45000.0</v>
      </c>
      <c r="J237" s="23">
        <v>0.05</v>
      </c>
      <c r="K237" s="41">
        <f t="shared" si="54"/>
        <v>2250</v>
      </c>
    </row>
    <row r="238" ht="14.25" customHeight="1">
      <c r="A238" s="60" t="s">
        <v>51</v>
      </c>
      <c r="B238" s="62"/>
      <c r="C238" s="64"/>
      <c r="D238" s="62"/>
      <c r="E238" s="66">
        <f>SUM(E234:E237)</f>
        <v>7850</v>
      </c>
      <c r="G238" s="53" t="s">
        <v>39</v>
      </c>
      <c r="H238" s="55"/>
      <c r="I238" s="56">
        <v>2000.0</v>
      </c>
      <c r="J238" s="55">
        <v>1.0</v>
      </c>
      <c r="K238" s="41">
        <f t="shared" si="54"/>
        <v>2000</v>
      </c>
    </row>
    <row r="239" ht="14.25" customHeight="1">
      <c r="F239" s="32">
        <f>195000*2</f>
        <v>390000</v>
      </c>
      <c r="G239" s="60" t="s">
        <v>51</v>
      </c>
      <c r="H239" s="62"/>
      <c r="I239" s="64"/>
      <c r="J239" s="62"/>
      <c r="K239" s="66">
        <f>SUM(K234:K238)</f>
        <v>5470</v>
      </c>
    </row>
    <row r="240" ht="14.25" customHeight="1"/>
    <row r="241" ht="14.25" customHeight="1">
      <c r="A241" s="113" t="s">
        <v>183</v>
      </c>
      <c r="B241" s="114"/>
      <c r="C241" s="115"/>
      <c r="D241" s="114"/>
      <c r="E241" s="116">
        <f>SUM(E238,E230,E224,E218,E213,E206)</f>
        <v>98274.55</v>
      </c>
      <c r="F241" s="138"/>
      <c r="G241" s="113" t="s">
        <v>183</v>
      </c>
      <c r="H241" s="114"/>
      <c r="I241" s="115"/>
      <c r="J241" s="114"/>
      <c r="K241" s="118">
        <f>SUM(K239,K231,K224,K218,K212,K204)</f>
        <v>104610.6</v>
      </c>
    </row>
    <row r="242" ht="14.25" customHeight="1">
      <c r="A242" s="119" t="s">
        <v>188</v>
      </c>
      <c r="B242" s="3"/>
      <c r="C242" s="3"/>
      <c r="D242" s="6"/>
      <c r="E242" s="120">
        <f>E241/F239</f>
        <v>0.2519860256</v>
      </c>
      <c r="F242" s="121"/>
      <c r="G242" s="119" t="s">
        <v>188</v>
      </c>
      <c r="H242" s="3"/>
      <c r="I242" s="3"/>
      <c r="J242" s="6"/>
      <c r="K242" s="146">
        <f>K241/F239</f>
        <v>0.2682323077</v>
      </c>
    </row>
    <row r="243" ht="14.25" customHeight="1">
      <c r="A243" s="5" t="s">
        <v>365</v>
      </c>
      <c r="B243" s="8"/>
      <c r="C243" s="8"/>
      <c r="D243" s="8"/>
      <c r="E243" s="8"/>
      <c r="F243" s="8"/>
      <c r="G243" s="8"/>
      <c r="H243" s="8"/>
      <c r="I243" s="8"/>
      <c r="J243" s="8"/>
      <c r="K243" s="11"/>
    </row>
    <row r="244" ht="14.25" customHeight="1">
      <c r="A244" s="16" t="s">
        <v>12</v>
      </c>
      <c r="B244" s="18"/>
      <c r="C244" s="18"/>
      <c r="D244" s="18"/>
      <c r="E244" s="19"/>
      <c r="G244" s="28" t="s">
        <v>30</v>
      </c>
      <c r="H244" s="29"/>
      <c r="I244" s="29"/>
      <c r="J244" s="29"/>
      <c r="K244" s="30"/>
    </row>
    <row r="245" ht="14.25" customHeight="1">
      <c r="A245" s="33" t="s">
        <v>153</v>
      </c>
      <c r="B245" s="3"/>
      <c r="C245" s="3"/>
      <c r="D245" s="3"/>
      <c r="E245" s="3"/>
      <c r="F245" s="128"/>
      <c r="G245" s="33" t="s">
        <v>367</v>
      </c>
      <c r="H245" s="3"/>
      <c r="I245" s="3"/>
      <c r="J245" s="3"/>
      <c r="K245" s="3"/>
    </row>
    <row r="246" ht="14.25" customHeight="1">
      <c r="A246" s="22" t="s">
        <v>161</v>
      </c>
      <c r="B246" s="23" t="s">
        <v>23</v>
      </c>
      <c r="C246" s="45">
        <v>20000.0</v>
      </c>
      <c r="D246" s="23">
        <v>0.5</v>
      </c>
      <c r="E246" s="41">
        <f t="shared" ref="E246:E248" si="55">C246*D246</f>
        <v>10000</v>
      </c>
      <c r="F246" s="128"/>
      <c r="G246" s="65" t="s">
        <v>309</v>
      </c>
      <c r="H246" s="23" t="s">
        <v>5</v>
      </c>
      <c r="I246" s="35">
        <v>9500.0</v>
      </c>
      <c r="J246" s="23">
        <v>1.0</v>
      </c>
      <c r="K246" s="41">
        <f t="shared" ref="K246:K250" si="56">I246*J246</f>
        <v>9500</v>
      </c>
    </row>
    <row r="247" ht="14.25" customHeight="1">
      <c r="A247" s="22" t="s">
        <v>67</v>
      </c>
      <c r="B247" s="23" t="s">
        <v>23</v>
      </c>
      <c r="C247" s="35">
        <v>21000.0</v>
      </c>
      <c r="D247" s="23">
        <v>0.1</v>
      </c>
      <c r="E247" s="41">
        <f t="shared" si="55"/>
        <v>2100</v>
      </c>
      <c r="G247" s="65" t="s">
        <v>368</v>
      </c>
      <c r="H247" s="23" t="s">
        <v>5</v>
      </c>
      <c r="I247" s="35">
        <v>6520.0</v>
      </c>
      <c r="J247" s="23">
        <v>1.0</v>
      </c>
      <c r="K247" s="41">
        <f t="shared" si="56"/>
        <v>6520</v>
      </c>
    </row>
    <row r="248" ht="14.25" customHeight="1">
      <c r="A248" s="53" t="s">
        <v>39</v>
      </c>
      <c r="B248" s="55"/>
      <c r="C248" s="56">
        <v>6000.0</v>
      </c>
      <c r="D248" s="55">
        <v>1.0</v>
      </c>
      <c r="E248" s="41">
        <f t="shared" si="55"/>
        <v>6000</v>
      </c>
      <c r="G248" s="65" t="s">
        <v>370</v>
      </c>
      <c r="H248" s="23" t="s">
        <v>5</v>
      </c>
      <c r="I248" s="35">
        <v>2500.0</v>
      </c>
      <c r="J248" s="23">
        <v>1.0</v>
      </c>
      <c r="K248" s="41">
        <f t="shared" si="56"/>
        <v>2500</v>
      </c>
    </row>
    <row r="249" ht="14.25" customHeight="1">
      <c r="A249" s="60" t="s">
        <v>51</v>
      </c>
      <c r="B249" s="62"/>
      <c r="C249" s="64"/>
      <c r="D249" s="62"/>
      <c r="E249" s="66">
        <f>SUM(E246:E248)</f>
        <v>18100</v>
      </c>
      <c r="G249" s="65" t="s">
        <v>371</v>
      </c>
      <c r="H249" s="23" t="s">
        <v>5</v>
      </c>
      <c r="I249" s="35">
        <v>6725.0</v>
      </c>
      <c r="J249" s="23">
        <v>1.0</v>
      </c>
      <c r="K249" s="41">
        <f t="shared" si="56"/>
        <v>6725</v>
      </c>
    </row>
    <row r="250" ht="14.25" customHeight="1">
      <c r="G250" s="53" t="s">
        <v>39</v>
      </c>
      <c r="H250" s="55"/>
      <c r="I250" s="56">
        <v>8000.0</v>
      </c>
      <c r="J250" s="55">
        <v>1.0</v>
      </c>
      <c r="K250" s="41">
        <f t="shared" si="56"/>
        <v>8000</v>
      </c>
    </row>
    <row r="251" ht="14.25" customHeight="1">
      <c r="G251" s="60" t="s">
        <v>51</v>
      </c>
      <c r="H251" s="62"/>
      <c r="I251" s="64"/>
      <c r="J251" s="62"/>
      <c r="K251" s="66">
        <f>SUM(K246:K250)</f>
        <v>33245</v>
      </c>
    </row>
    <row r="252" ht="14.25" customHeight="1"/>
    <row r="253" ht="14.25" customHeight="1">
      <c r="A253" s="33" t="s">
        <v>373</v>
      </c>
      <c r="B253" s="3"/>
      <c r="C253" s="3"/>
      <c r="D253" s="3"/>
      <c r="E253" s="3"/>
      <c r="G253" s="69" t="s">
        <v>374</v>
      </c>
      <c r="H253" s="3"/>
      <c r="I253" s="3"/>
      <c r="J253" s="3"/>
      <c r="K253" s="14"/>
    </row>
    <row r="254" ht="14.25" customHeight="1">
      <c r="A254" s="22" t="s">
        <v>137</v>
      </c>
      <c r="B254" s="23" t="s">
        <v>74</v>
      </c>
      <c r="C254" s="35">
        <v>4000.0</v>
      </c>
      <c r="D254" s="23">
        <v>3.0</v>
      </c>
      <c r="E254" s="41">
        <f>C254*D254</f>
        <v>12000</v>
      </c>
      <c r="F254" s="181"/>
      <c r="G254" s="71" t="s">
        <v>216</v>
      </c>
      <c r="H254" s="72" t="s">
        <v>8</v>
      </c>
      <c r="I254" s="73">
        <v>150000.0</v>
      </c>
      <c r="J254" s="72">
        <v>0.3</v>
      </c>
      <c r="K254" s="75">
        <f t="shared" ref="K254:K258" si="57">J254*I254</f>
        <v>45000</v>
      </c>
    </row>
    <row r="255" ht="14.25" customHeight="1">
      <c r="A255" s="22"/>
      <c r="B255" s="23"/>
      <c r="C255" s="35"/>
      <c r="D255" s="23"/>
      <c r="E255" s="41"/>
      <c r="F255" s="181"/>
      <c r="G255" s="71" t="s">
        <v>298</v>
      </c>
      <c r="H255" s="72" t="s">
        <v>8</v>
      </c>
      <c r="I255" s="73">
        <v>75000.0</v>
      </c>
      <c r="J255" s="72">
        <v>0.3</v>
      </c>
      <c r="K255" s="75">
        <f t="shared" si="57"/>
        <v>22500</v>
      </c>
    </row>
    <row r="256" ht="14.25" customHeight="1">
      <c r="A256" s="53" t="s">
        <v>39</v>
      </c>
      <c r="B256" s="55"/>
      <c r="C256" s="56">
        <v>5000.0</v>
      </c>
      <c r="D256" s="55">
        <v>1.0</v>
      </c>
      <c r="E256" s="41">
        <f>C256*D256</f>
        <v>5000</v>
      </c>
      <c r="G256" s="71" t="s">
        <v>376</v>
      </c>
      <c r="H256" s="72" t="s">
        <v>8</v>
      </c>
      <c r="I256" s="78">
        <v>5000.0</v>
      </c>
      <c r="J256" s="77">
        <v>2.0</v>
      </c>
      <c r="K256" s="75">
        <f t="shared" si="57"/>
        <v>10000</v>
      </c>
    </row>
    <row r="257" ht="14.25" customHeight="1">
      <c r="A257" s="60" t="s">
        <v>51</v>
      </c>
      <c r="B257" s="62"/>
      <c r="C257" s="64"/>
      <c r="D257" s="62"/>
      <c r="E257" s="66">
        <f>SUM(E254:E256)</f>
        <v>17000</v>
      </c>
      <c r="G257" s="71" t="s">
        <v>296</v>
      </c>
      <c r="H257" s="72" t="s">
        <v>8</v>
      </c>
      <c r="I257" s="78">
        <v>60000.0</v>
      </c>
      <c r="J257" s="77">
        <v>0.3</v>
      </c>
      <c r="K257" s="75">
        <f t="shared" si="57"/>
        <v>18000</v>
      </c>
    </row>
    <row r="258" ht="14.25" customHeight="1">
      <c r="G258" s="71" t="s">
        <v>297</v>
      </c>
      <c r="H258" s="85" t="s">
        <v>105</v>
      </c>
      <c r="I258" s="78">
        <v>3500.0</v>
      </c>
      <c r="J258" s="77">
        <v>3.0</v>
      </c>
      <c r="K258" s="75">
        <f t="shared" si="57"/>
        <v>10500</v>
      </c>
    </row>
    <row r="259" ht="14.25" customHeight="1">
      <c r="A259" s="33" t="s">
        <v>378</v>
      </c>
      <c r="B259" s="3"/>
      <c r="C259" s="3"/>
      <c r="D259" s="3"/>
      <c r="E259" s="6"/>
      <c r="G259" s="53" t="s">
        <v>39</v>
      </c>
      <c r="H259" s="55"/>
      <c r="I259" s="56">
        <v>20000.0</v>
      </c>
      <c r="J259" s="55">
        <v>1.0</v>
      </c>
      <c r="K259" s="41">
        <f>I259*J259</f>
        <v>20000</v>
      </c>
    </row>
    <row r="260" ht="14.25" customHeight="1">
      <c r="A260" s="108" t="s">
        <v>216</v>
      </c>
      <c r="B260" s="109" t="s">
        <v>8</v>
      </c>
      <c r="C260" s="35">
        <v>140000.0</v>
      </c>
      <c r="D260" s="109">
        <v>0.5</v>
      </c>
      <c r="E260" s="155">
        <f t="shared" ref="E260:E261" si="58">C260*D260</f>
        <v>70000</v>
      </c>
      <c r="G260" s="60" t="s">
        <v>51</v>
      </c>
      <c r="H260" s="62"/>
      <c r="I260" s="64"/>
      <c r="J260" s="62"/>
      <c r="K260" s="66">
        <f>SUM(K254:K259)</f>
        <v>126000</v>
      </c>
    </row>
    <row r="261" ht="14.25" customHeight="1">
      <c r="A261" s="53" t="s">
        <v>39</v>
      </c>
      <c r="B261" s="55"/>
      <c r="C261" s="56">
        <v>6000.0</v>
      </c>
      <c r="D261" s="55">
        <v>1.0</v>
      </c>
      <c r="E261" s="155">
        <f t="shared" si="58"/>
        <v>6000</v>
      </c>
      <c r="G261" s="76"/>
      <c r="H261" s="77"/>
      <c r="I261" s="78"/>
      <c r="J261" s="77"/>
      <c r="K261" s="182"/>
    </row>
    <row r="262" ht="14.25" customHeight="1">
      <c r="A262" s="157" t="s">
        <v>51</v>
      </c>
      <c r="B262" s="158"/>
      <c r="C262" s="159"/>
      <c r="D262" s="158"/>
      <c r="E262" s="160">
        <f>SUM(E260:E261)</f>
        <v>76000</v>
      </c>
      <c r="G262" s="183"/>
      <c r="H262" s="184"/>
      <c r="I262" s="185"/>
      <c r="J262" s="184"/>
      <c r="K262" s="186"/>
    </row>
    <row r="263" ht="14.25" customHeight="1">
      <c r="G263" s="85"/>
      <c r="H263" s="85"/>
      <c r="I263" s="85"/>
      <c r="J263" s="85"/>
      <c r="K263" s="85"/>
    </row>
    <row r="264" ht="14.25" customHeight="1">
      <c r="A264" s="33" t="s">
        <v>275</v>
      </c>
      <c r="B264" s="3"/>
      <c r="C264" s="3"/>
      <c r="D264" s="3"/>
      <c r="E264" s="3"/>
      <c r="G264" s="69"/>
      <c r="H264" s="3"/>
      <c r="I264" s="3"/>
      <c r="J264" s="3"/>
      <c r="K264" s="14"/>
    </row>
    <row r="265" ht="14.25" customHeight="1">
      <c r="A265" s="108" t="s">
        <v>250</v>
      </c>
      <c r="B265" s="109" t="s">
        <v>8</v>
      </c>
      <c r="C265" s="35">
        <v>18000.0</v>
      </c>
      <c r="D265" s="109">
        <v>0.5</v>
      </c>
      <c r="E265" s="41">
        <f t="shared" ref="E265:E266" si="59">C265*D265</f>
        <v>9000</v>
      </c>
      <c r="G265" s="89"/>
      <c r="H265" s="90"/>
      <c r="I265" s="73"/>
      <c r="J265" s="90"/>
      <c r="K265" s="75"/>
    </row>
    <row r="266" ht="14.25" customHeight="1">
      <c r="A266" s="53" t="s">
        <v>39</v>
      </c>
      <c r="B266" s="55"/>
      <c r="C266" s="56">
        <v>10000.0</v>
      </c>
      <c r="D266" s="55">
        <v>1.0</v>
      </c>
      <c r="E266" s="41">
        <f t="shared" si="59"/>
        <v>10000</v>
      </c>
      <c r="G266" s="89"/>
      <c r="H266" s="90"/>
      <c r="I266" s="73"/>
      <c r="J266" s="90"/>
      <c r="K266" s="75"/>
    </row>
    <row r="267" ht="14.25" customHeight="1">
      <c r="A267" s="60" t="s">
        <v>51</v>
      </c>
      <c r="B267" s="62"/>
      <c r="C267" s="64"/>
      <c r="D267" s="62"/>
      <c r="E267" s="66">
        <f>SUM(E265:E266)</f>
        <v>19000</v>
      </c>
      <c r="G267" s="89"/>
      <c r="H267" s="90"/>
      <c r="I267" s="73"/>
      <c r="J267" s="90"/>
      <c r="K267" s="75"/>
    </row>
    <row r="268" ht="14.25" customHeight="1">
      <c r="G268" s="76"/>
      <c r="H268" s="77"/>
      <c r="I268" s="78"/>
      <c r="J268" s="77"/>
      <c r="K268" s="75"/>
    </row>
    <row r="269" ht="14.25" customHeight="1">
      <c r="G269" s="80"/>
      <c r="H269" s="82"/>
      <c r="I269" s="83"/>
      <c r="J269" s="82"/>
      <c r="K269" s="84"/>
    </row>
    <row r="270" ht="14.25" customHeight="1">
      <c r="G270" s="85"/>
      <c r="H270" s="85"/>
      <c r="I270" s="85"/>
      <c r="J270" s="85"/>
      <c r="K270" s="85"/>
    </row>
    <row r="271" ht="14.25" customHeight="1">
      <c r="A271" s="33" t="s">
        <v>284</v>
      </c>
      <c r="B271" s="3"/>
      <c r="C271" s="3"/>
      <c r="D271" s="3"/>
      <c r="E271" s="6"/>
      <c r="G271" s="69"/>
      <c r="H271" s="3"/>
      <c r="I271" s="3"/>
      <c r="J271" s="3"/>
      <c r="K271" s="14"/>
    </row>
    <row r="272" ht="14.25" customHeight="1">
      <c r="A272" s="22" t="s">
        <v>21</v>
      </c>
      <c r="B272" s="23" t="s">
        <v>23</v>
      </c>
      <c r="C272" s="35">
        <v>15505.0</v>
      </c>
      <c r="D272" s="23">
        <v>0.15</v>
      </c>
      <c r="E272" s="155">
        <f t="shared" ref="E272:E276" si="60">C272*D272</f>
        <v>2325.75</v>
      </c>
      <c r="G272" s="89"/>
      <c r="H272" s="90"/>
      <c r="I272" s="73"/>
      <c r="J272" s="90"/>
      <c r="K272" s="75"/>
    </row>
    <row r="273" ht="14.25" customHeight="1">
      <c r="A273" s="22" t="s">
        <v>78</v>
      </c>
      <c r="B273" s="23" t="s">
        <v>23</v>
      </c>
      <c r="C273" s="35">
        <v>15556.0</v>
      </c>
      <c r="D273" s="23">
        <v>0.15</v>
      </c>
      <c r="E273" s="155">
        <f t="shared" si="60"/>
        <v>2333.4</v>
      </c>
      <c r="G273" s="89"/>
      <c r="H273" s="90"/>
      <c r="I273" s="73"/>
      <c r="J273" s="90"/>
      <c r="K273" s="75"/>
    </row>
    <row r="274" ht="14.25" customHeight="1">
      <c r="A274" s="40" t="s">
        <v>384</v>
      </c>
      <c r="B274" s="23" t="s">
        <v>23</v>
      </c>
      <c r="C274" s="187">
        <v>18769.0</v>
      </c>
      <c r="D274" s="23">
        <v>0.15</v>
      </c>
      <c r="E274" s="155">
        <f t="shared" si="60"/>
        <v>2815.35</v>
      </c>
      <c r="G274" s="76"/>
      <c r="H274" s="77"/>
      <c r="I274" s="78"/>
      <c r="J274" s="77"/>
      <c r="K274" s="75"/>
    </row>
    <row r="275" ht="14.25" customHeight="1">
      <c r="A275" s="40" t="s">
        <v>274</v>
      </c>
      <c r="B275" s="23" t="s">
        <v>23</v>
      </c>
      <c r="C275" s="187">
        <v>18986.0</v>
      </c>
      <c r="D275" s="23">
        <v>0.15</v>
      </c>
      <c r="E275" s="155">
        <f t="shared" si="60"/>
        <v>2847.9</v>
      </c>
      <c r="G275" s="130"/>
      <c r="H275" s="82"/>
      <c r="I275" s="83"/>
      <c r="J275" s="82"/>
      <c r="K275" s="84"/>
    </row>
    <row r="276" ht="14.25" customHeight="1">
      <c r="A276" s="53" t="s">
        <v>39</v>
      </c>
      <c r="B276" s="55"/>
      <c r="C276" s="56">
        <v>6000.0</v>
      </c>
      <c r="D276" s="55">
        <v>1.0</v>
      </c>
      <c r="E276" s="155">
        <f t="shared" si="60"/>
        <v>6000</v>
      </c>
      <c r="G276" s="134"/>
      <c r="H276" s="135"/>
      <c r="I276" s="136"/>
      <c r="J276" s="135"/>
      <c r="K276" s="137"/>
    </row>
    <row r="277" ht="14.25" customHeight="1">
      <c r="A277" s="157" t="s">
        <v>51</v>
      </c>
      <c r="B277" s="40"/>
      <c r="C277" s="67"/>
      <c r="D277" s="40"/>
      <c r="E277" s="188">
        <f>SUM(E272:E276)</f>
        <v>16322.4</v>
      </c>
      <c r="G277" s="189"/>
      <c r="H277" s="190"/>
      <c r="I277" s="191"/>
      <c r="J277" s="190"/>
      <c r="K277" s="192"/>
    </row>
    <row r="278" ht="14.25" customHeight="1"/>
    <row r="279" ht="14.25" customHeight="1">
      <c r="A279" s="33" t="s">
        <v>326</v>
      </c>
      <c r="B279" s="3"/>
      <c r="C279" s="3"/>
      <c r="D279" s="3"/>
      <c r="E279" s="3"/>
      <c r="G279" s="33" t="s">
        <v>386</v>
      </c>
      <c r="H279" s="3"/>
      <c r="I279" s="3"/>
      <c r="J279" s="3"/>
      <c r="K279" s="3"/>
    </row>
    <row r="280" ht="14.25" customHeight="1">
      <c r="A280" s="108" t="s">
        <v>328</v>
      </c>
      <c r="B280" s="109" t="s">
        <v>329</v>
      </c>
      <c r="C280" s="45">
        <v>5000.0</v>
      </c>
      <c r="D280" s="174">
        <v>1.0</v>
      </c>
      <c r="E280" s="41">
        <f>C280*D280</f>
        <v>5000</v>
      </c>
      <c r="F280" s="128"/>
      <c r="G280" s="23" t="s">
        <v>387</v>
      </c>
      <c r="H280" s="23" t="s">
        <v>23</v>
      </c>
      <c r="I280" s="35">
        <v>0.0</v>
      </c>
      <c r="J280" s="23">
        <v>0.2</v>
      </c>
      <c r="K280" s="41">
        <f t="shared" ref="K280:K282" si="61">I280*J280</f>
        <v>0</v>
      </c>
    </row>
    <row r="281" ht="14.25" customHeight="1">
      <c r="A281" s="53" t="s">
        <v>388</v>
      </c>
      <c r="B281" s="55"/>
      <c r="C281" s="175" t="s">
        <v>389</v>
      </c>
      <c r="D281" s="55">
        <v>0.0</v>
      </c>
      <c r="E281" s="41">
        <v>4000.0</v>
      </c>
      <c r="F281" s="128"/>
      <c r="G281" s="23" t="s">
        <v>390</v>
      </c>
      <c r="H281" s="23" t="s">
        <v>391</v>
      </c>
      <c r="I281" s="35">
        <v>560.0</v>
      </c>
      <c r="J281" s="23">
        <v>3.0</v>
      </c>
      <c r="K281" s="41">
        <f t="shared" si="61"/>
        <v>1680</v>
      </c>
    </row>
    <row r="282" ht="14.25" customHeight="1">
      <c r="A282" s="60" t="s">
        <v>51</v>
      </c>
      <c r="B282" s="62"/>
      <c r="C282" s="64"/>
      <c r="D282" s="62"/>
      <c r="E282" s="66">
        <f>SUM(E280:E281)</f>
        <v>9000</v>
      </c>
      <c r="G282" s="193" t="s">
        <v>39</v>
      </c>
      <c r="H282" s="194"/>
      <c r="I282" s="195">
        <v>10000.0</v>
      </c>
      <c r="J282" s="194">
        <v>1.0</v>
      </c>
      <c r="K282" s="196">
        <f t="shared" si="61"/>
        <v>10000</v>
      </c>
    </row>
    <row r="283" ht="14.25" customHeight="1">
      <c r="F283" s="32">
        <f>255000*2</f>
        <v>510000</v>
      </c>
      <c r="G283" s="60" t="s">
        <v>51</v>
      </c>
      <c r="H283" s="62"/>
      <c r="I283" s="64"/>
      <c r="J283" s="62"/>
      <c r="K283" s="66">
        <f>SUM(K280:K282)</f>
        <v>11680</v>
      </c>
    </row>
    <row r="284" ht="14.25" customHeight="1"/>
    <row r="285" ht="14.25" customHeight="1">
      <c r="A285" s="113" t="s">
        <v>183</v>
      </c>
      <c r="B285" s="114"/>
      <c r="C285" s="115"/>
      <c r="D285" s="114"/>
      <c r="E285" s="116">
        <f>SUM(E282,E277,E267,E262,E249,E257)</f>
        <v>155422.4</v>
      </c>
      <c r="F285" s="138"/>
      <c r="G285" s="113" t="s">
        <v>183</v>
      </c>
      <c r="H285" s="114"/>
      <c r="I285" s="115"/>
      <c r="J285" s="114"/>
      <c r="K285" s="118">
        <f>(K283*2)+SUM(K260,K251)</f>
        <v>182605</v>
      </c>
    </row>
    <row r="286" ht="14.25" customHeight="1">
      <c r="A286" s="119" t="s">
        <v>188</v>
      </c>
      <c r="B286" s="3"/>
      <c r="C286" s="3"/>
      <c r="D286" s="6"/>
      <c r="E286" s="120">
        <f>E285/F283</f>
        <v>0.3047498039</v>
      </c>
      <c r="F286" s="121"/>
      <c r="G286" s="119" t="s">
        <v>188</v>
      </c>
      <c r="H286" s="3"/>
      <c r="I286" s="3"/>
      <c r="J286" s="6"/>
      <c r="K286" s="146">
        <f>K285/F283</f>
        <v>0.3580490196</v>
      </c>
    </row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3">
    <mergeCell ref="A137:E137"/>
    <mergeCell ref="A143:E143"/>
    <mergeCell ref="G143:K143"/>
    <mergeCell ref="A148:E148"/>
    <mergeCell ref="G148:K148"/>
    <mergeCell ref="F149:F150"/>
    <mergeCell ref="A157:D157"/>
    <mergeCell ref="G157:J157"/>
    <mergeCell ref="A158:K158"/>
    <mergeCell ref="A159:E159"/>
    <mergeCell ref="G159:K159"/>
    <mergeCell ref="A161:E161"/>
    <mergeCell ref="G161:K161"/>
    <mergeCell ref="G171:K171"/>
    <mergeCell ref="A171:E171"/>
    <mergeCell ref="A178:E178"/>
    <mergeCell ref="G178:K178"/>
    <mergeCell ref="A188:E188"/>
    <mergeCell ref="G188:K188"/>
    <mergeCell ref="A194:D194"/>
    <mergeCell ref="G194:J194"/>
    <mergeCell ref="A197:K197"/>
    <mergeCell ref="A199:E199"/>
    <mergeCell ref="G199:K199"/>
    <mergeCell ref="A200:E200"/>
    <mergeCell ref="G200:K200"/>
    <mergeCell ref="A208:E208"/>
    <mergeCell ref="G208:K208"/>
    <mergeCell ref="A215:E215"/>
    <mergeCell ref="G215:K215"/>
    <mergeCell ref="A220:E220"/>
    <mergeCell ref="G220:K220"/>
    <mergeCell ref="A226:E226"/>
    <mergeCell ref="G226:K226"/>
    <mergeCell ref="G233:K233"/>
    <mergeCell ref="A233:E233"/>
    <mergeCell ref="A242:D242"/>
    <mergeCell ref="G242:J242"/>
    <mergeCell ref="A243:K243"/>
    <mergeCell ref="A244:E244"/>
    <mergeCell ref="G244:K244"/>
    <mergeCell ref="G245:K245"/>
    <mergeCell ref="A271:E271"/>
    <mergeCell ref="A279:E279"/>
    <mergeCell ref="G279:K279"/>
    <mergeCell ref="A286:D286"/>
    <mergeCell ref="G286:J286"/>
    <mergeCell ref="A245:E245"/>
    <mergeCell ref="A253:E253"/>
    <mergeCell ref="G253:K253"/>
    <mergeCell ref="A259:E259"/>
    <mergeCell ref="A264:E264"/>
    <mergeCell ref="G264:K264"/>
    <mergeCell ref="G271:K271"/>
    <mergeCell ref="A1:K1"/>
    <mergeCell ref="A2:K2"/>
    <mergeCell ref="A4:E4"/>
    <mergeCell ref="G4:K4"/>
    <mergeCell ref="A5:E5"/>
    <mergeCell ref="G5:K5"/>
    <mergeCell ref="G15:K15"/>
    <mergeCell ref="A15:E15"/>
    <mergeCell ref="A23:E23"/>
    <mergeCell ref="G23:K23"/>
    <mergeCell ref="A28:E28"/>
    <mergeCell ref="G28:K28"/>
    <mergeCell ref="A34:E34"/>
    <mergeCell ref="G34:K34"/>
    <mergeCell ref="A39:E39"/>
    <mergeCell ref="G39:K39"/>
    <mergeCell ref="A49:D49"/>
    <mergeCell ref="G49:J49"/>
    <mergeCell ref="A50:K50"/>
    <mergeCell ref="A52:E52"/>
    <mergeCell ref="G52:K52"/>
    <mergeCell ref="A54:E54"/>
    <mergeCell ref="G54:K54"/>
    <mergeCell ref="A64:E64"/>
    <mergeCell ref="G64:K64"/>
    <mergeCell ref="A70:E70"/>
    <mergeCell ref="G70:K70"/>
    <mergeCell ref="G76:K76"/>
    <mergeCell ref="A76:E76"/>
    <mergeCell ref="A83:E83"/>
    <mergeCell ref="G83:K83"/>
    <mergeCell ref="A89:E89"/>
    <mergeCell ref="G89:K89"/>
    <mergeCell ref="A94:E94"/>
    <mergeCell ref="G94:K94"/>
    <mergeCell ref="A103:D103"/>
    <mergeCell ref="G103:J103"/>
    <mergeCell ref="A104:K104"/>
    <mergeCell ref="A105:E105"/>
    <mergeCell ref="G105:K105"/>
    <mergeCell ref="A107:E107"/>
    <mergeCell ref="G107:K107"/>
    <mergeCell ref="A117:E117"/>
    <mergeCell ref="G117:K117"/>
    <mergeCell ref="A125:E125"/>
    <mergeCell ref="G125:K125"/>
    <mergeCell ref="A130:E130"/>
    <mergeCell ref="G130:K130"/>
    <mergeCell ref="G137:K13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86"/>
    <col customWidth="1" min="2" max="2" width="8.71"/>
    <col customWidth="1" min="3" max="3" width="26.86"/>
    <col customWidth="1" min="4" max="26" width="8.71"/>
  </cols>
  <sheetData>
    <row r="1" ht="14.25" customHeight="1">
      <c r="A1" s="2" t="s">
        <v>1</v>
      </c>
      <c r="B1" s="4"/>
      <c r="C1" s="4"/>
      <c r="D1" s="4"/>
      <c r="E1" s="4"/>
    </row>
    <row r="2" ht="25.5" customHeight="1">
      <c r="A2" s="7" t="s">
        <v>3</v>
      </c>
      <c r="B2" s="10" t="s">
        <v>5</v>
      </c>
      <c r="C2" s="7" t="s">
        <v>6</v>
      </c>
      <c r="D2" s="12" t="s">
        <v>8</v>
      </c>
      <c r="E2" s="7">
        <v>0.2</v>
      </c>
    </row>
    <row r="3" ht="25.5" customHeight="1">
      <c r="A3" s="7"/>
      <c r="B3" s="10"/>
      <c r="C3" s="7" t="s">
        <v>11</v>
      </c>
      <c r="D3" s="12" t="s">
        <v>13</v>
      </c>
      <c r="E3" s="7">
        <v>0.05</v>
      </c>
    </row>
    <row r="4" ht="25.5" customHeight="1">
      <c r="A4" s="7" t="s">
        <v>15</v>
      </c>
      <c r="B4" s="10" t="s">
        <v>5</v>
      </c>
      <c r="C4" s="7" t="s">
        <v>16</v>
      </c>
      <c r="D4" s="12" t="s">
        <v>8</v>
      </c>
      <c r="E4" s="7">
        <v>0.15</v>
      </c>
    </row>
    <row r="5" ht="25.5" customHeight="1">
      <c r="A5" s="7"/>
      <c r="B5" s="10"/>
      <c r="C5" s="7" t="s">
        <v>18</v>
      </c>
      <c r="D5" s="12" t="s">
        <v>8</v>
      </c>
      <c r="E5" s="7">
        <v>0.075</v>
      </c>
    </row>
    <row r="6" ht="25.5" customHeight="1">
      <c r="A6" s="7"/>
      <c r="B6" s="10"/>
      <c r="C6" s="7" t="s">
        <v>20</v>
      </c>
      <c r="D6" s="12" t="s">
        <v>8</v>
      </c>
      <c r="E6" s="7">
        <v>0.075</v>
      </c>
    </row>
    <row r="7" ht="25.5" customHeight="1">
      <c r="A7" s="7" t="s">
        <v>22</v>
      </c>
      <c r="B7" s="10" t="s">
        <v>5</v>
      </c>
      <c r="C7" s="7" t="s">
        <v>24</v>
      </c>
      <c r="D7" s="12" t="s">
        <v>8</v>
      </c>
      <c r="E7" s="7">
        <v>0.075</v>
      </c>
    </row>
    <row r="8" ht="25.5" customHeight="1">
      <c r="A8" s="7"/>
      <c r="B8" s="10"/>
      <c r="C8" s="7" t="s">
        <v>25</v>
      </c>
      <c r="D8" s="12" t="s">
        <v>8</v>
      </c>
      <c r="E8" s="7">
        <v>0.03</v>
      </c>
    </row>
    <row r="9" ht="25.5" customHeight="1">
      <c r="A9" s="7" t="s">
        <v>26</v>
      </c>
      <c r="B9" s="10" t="s">
        <v>5</v>
      </c>
      <c r="C9" s="7" t="s">
        <v>24</v>
      </c>
      <c r="D9" s="12" t="s">
        <v>8</v>
      </c>
      <c r="E9" s="7">
        <v>0.075</v>
      </c>
    </row>
    <row r="10" ht="25.5" customHeight="1">
      <c r="A10" s="7"/>
      <c r="B10" s="10"/>
      <c r="C10" s="7" t="s">
        <v>27</v>
      </c>
      <c r="D10" s="12" t="s">
        <v>8</v>
      </c>
      <c r="E10" s="7">
        <v>0.03</v>
      </c>
    </row>
    <row r="11" ht="25.5" customHeight="1">
      <c r="A11" s="7" t="s">
        <v>28</v>
      </c>
      <c r="B11" s="10"/>
      <c r="C11" s="7" t="s">
        <v>29</v>
      </c>
      <c r="D11" s="12" t="s">
        <v>8</v>
      </c>
      <c r="E11" s="7">
        <v>0.15</v>
      </c>
    </row>
    <row r="12" ht="25.5" customHeight="1">
      <c r="A12" s="7"/>
      <c r="B12" s="10"/>
      <c r="C12" s="7" t="s">
        <v>31</v>
      </c>
      <c r="D12" s="12" t="s">
        <v>8</v>
      </c>
      <c r="E12" s="7">
        <v>0.3</v>
      </c>
    </row>
    <row r="13" ht="25.5" customHeight="1">
      <c r="A13" s="7" t="s">
        <v>33</v>
      </c>
      <c r="B13" s="10" t="s">
        <v>5</v>
      </c>
      <c r="C13" s="7" t="s">
        <v>34</v>
      </c>
      <c r="D13" s="12" t="s">
        <v>8</v>
      </c>
      <c r="E13" s="7">
        <v>0.2</v>
      </c>
    </row>
    <row r="14" ht="25.5" customHeight="1">
      <c r="A14" s="7"/>
      <c r="B14" s="10"/>
      <c r="C14" s="7" t="s">
        <v>24</v>
      </c>
      <c r="D14" s="12" t="s">
        <v>8</v>
      </c>
      <c r="E14" s="7">
        <v>0.075</v>
      </c>
    </row>
    <row r="15" ht="25.5" customHeight="1">
      <c r="A15" s="7"/>
      <c r="B15" s="10"/>
      <c r="C15" s="7" t="s">
        <v>25</v>
      </c>
      <c r="D15" s="12" t="s">
        <v>8</v>
      </c>
      <c r="E15" s="7">
        <v>0.05</v>
      </c>
    </row>
    <row r="16" ht="25.5" customHeight="1">
      <c r="A16" s="7" t="s">
        <v>37</v>
      </c>
      <c r="B16" s="10" t="s">
        <v>5</v>
      </c>
      <c r="C16" s="7" t="s">
        <v>38</v>
      </c>
      <c r="D16" s="12" t="s">
        <v>8</v>
      </c>
      <c r="E16" s="7">
        <v>0.15</v>
      </c>
    </row>
    <row r="17" ht="25.5" customHeight="1">
      <c r="A17" s="7"/>
      <c r="B17" s="10"/>
      <c r="C17" s="7" t="s">
        <v>24</v>
      </c>
      <c r="D17" s="12" t="s">
        <v>8</v>
      </c>
      <c r="E17" s="7">
        <v>0.075</v>
      </c>
    </row>
    <row r="18" ht="25.5" customHeight="1">
      <c r="A18" s="7"/>
      <c r="B18" s="10"/>
      <c r="C18" s="7" t="s">
        <v>25</v>
      </c>
      <c r="D18" s="12" t="s">
        <v>8</v>
      </c>
      <c r="E18" s="7">
        <v>0.05</v>
      </c>
    </row>
    <row r="19" ht="25.5" customHeight="1">
      <c r="A19" s="7" t="s">
        <v>40</v>
      </c>
      <c r="B19" s="10" t="s">
        <v>5</v>
      </c>
      <c r="C19" s="7" t="s">
        <v>41</v>
      </c>
      <c r="D19" s="12" t="s">
        <v>8</v>
      </c>
      <c r="E19" s="7">
        <v>0.3</v>
      </c>
    </row>
    <row r="20" ht="25.5" customHeight="1">
      <c r="A20" s="7"/>
      <c r="B20" s="10"/>
      <c r="C20" s="7" t="s">
        <v>42</v>
      </c>
      <c r="D20" s="12" t="s">
        <v>8</v>
      </c>
      <c r="E20" s="7">
        <v>0.05</v>
      </c>
    </row>
    <row r="21" ht="25.5" customHeight="1">
      <c r="A21" s="7" t="s">
        <v>44</v>
      </c>
      <c r="B21" s="10" t="s">
        <v>5</v>
      </c>
      <c r="C21" s="7" t="s">
        <v>45</v>
      </c>
      <c r="D21" s="12" t="s">
        <v>8</v>
      </c>
      <c r="E21" s="7">
        <v>0.5</v>
      </c>
    </row>
    <row r="22" ht="25.5" customHeight="1">
      <c r="A22" s="7"/>
      <c r="B22" s="10"/>
      <c r="C22" s="7" t="s">
        <v>47</v>
      </c>
      <c r="D22" s="12" t="s">
        <v>8</v>
      </c>
      <c r="E22" s="7">
        <v>0.15</v>
      </c>
    </row>
    <row r="23" ht="25.5" customHeight="1">
      <c r="A23" s="7" t="s">
        <v>49</v>
      </c>
      <c r="B23" s="10" t="s">
        <v>5</v>
      </c>
      <c r="C23" s="7" t="s">
        <v>50</v>
      </c>
      <c r="D23" s="12" t="s">
        <v>8</v>
      </c>
      <c r="E23" s="7">
        <v>0.5</v>
      </c>
    </row>
    <row r="24" ht="25.5" customHeight="1">
      <c r="A24" s="7"/>
      <c r="B24" s="10"/>
      <c r="C24" s="7" t="s">
        <v>53</v>
      </c>
      <c r="D24" s="12" t="s">
        <v>8</v>
      </c>
      <c r="E24" s="7">
        <v>0.02</v>
      </c>
    </row>
    <row r="25" ht="25.5" customHeight="1">
      <c r="A25" s="7" t="s">
        <v>54</v>
      </c>
      <c r="B25" s="10" t="s">
        <v>5</v>
      </c>
      <c r="C25" s="7" t="s">
        <v>42</v>
      </c>
      <c r="D25" s="12" t="s">
        <v>8</v>
      </c>
      <c r="E25" s="7">
        <v>0.15</v>
      </c>
    </row>
    <row r="26" ht="25.5" customHeight="1">
      <c r="A26" s="7" t="s">
        <v>56</v>
      </c>
      <c r="B26" s="10" t="s">
        <v>5</v>
      </c>
      <c r="C26" s="7" t="s">
        <v>58</v>
      </c>
      <c r="D26" s="12" t="s">
        <v>8</v>
      </c>
      <c r="E26" s="7">
        <v>0.2</v>
      </c>
    </row>
    <row r="27" ht="25.5" customHeight="1">
      <c r="A27" s="7" t="s">
        <v>59</v>
      </c>
      <c r="B27" s="10" t="s">
        <v>5</v>
      </c>
      <c r="C27" s="7" t="s">
        <v>60</v>
      </c>
      <c r="D27" s="12" t="s">
        <v>8</v>
      </c>
      <c r="E27" s="7">
        <v>0.1</v>
      </c>
    </row>
    <row r="28" ht="25.5" customHeight="1">
      <c r="A28" s="7" t="s">
        <v>61</v>
      </c>
      <c r="B28" s="10" t="s">
        <v>5</v>
      </c>
      <c r="C28" s="7" t="s">
        <v>50</v>
      </c>
      <c r="D28" s="12" t="s">
        <v>8</v>
      </c>
      <c r="E28" s="7">
        <v>0.5</v>
      </c>
    </row>
    <row r="29" ht="25.5" customHeight="1">
      <c r="A29" s="7" t="s">
        <v>62</v>
      </c>
      <c r="B29" s="10" t="s">
        <v>5</v>
      </c>
      <c r="C29" s="7" t="s">
        <v>25</v>
      </c>
      <c r="D29" s="12" t="s">
        <v>8</v>
      </c>
      <c r="E29" s="7">
        <v>0.2</v>
      </c>
    </row>
    <row r="30" ht="25.5" customHeight="1">
      <c r="A30" s="7"/>
      <c r="B30" s="10"/>
      <c r="C30" s="7" t="s">
        <v>63</v>
      </c>
      <c r="D30" s="12" t="s">
        <v>64</v>
      </c>
      <c r="E30" s="7">
        <v>1.0</v>
      </c>
    </row>
    <row r="31" ht="25.5" customHeight="1">
      <c r="A31" s="7"/>
      <c r="B31" s="10"/>
      <c r="C31" s="7" t="s">
        <v>66</v>
      </c>
      <c r="D31" s="12" t="s">
        <v>64</v>
      </c>
      <c r="E31" s="7">
        <v>1.0</v>
      </c>
    </row>
    <row r="32" ht="25.5" customHeight="1">
      <c r="A32" s="7"/>
      <c r="B32" s="10"/>
      <c r="C32" s="7" t="s">
        <v>68</v>
      </c>
      <c r="D32" s="12" t="s">
        <v>8</v>
      </c>
      <c r="E32" s="7">
        <v>0.2</v>
      </c>
    </row>
    <row r="33" ht="25.5" customHeight="1">
      <c r="A33" s="7" t="s">
        <v>69</v>
      </c>
      <c r="B33" s="10" t="s">
        <v>5</v>
      </c>
      <c r="C33" s="7" t="s">
        <v>70</v>
      </c>
      <c r="D33" s="12" t="s">
        <v>8</v>
      </c>
      <c r="E33" s="7">
        <v>0.5</v>
      </c>
    </row>
    <row r="34" ht="25.5" customHeight="1">
      <c r="A34" s="7" t="s">
        <v>71</v>
      </c>
      <c r="B34" s="10" t="s">
        <v>5</v>
      </c>
      <c r="C34" s="7" t="s">
        <v>73</v>
      </c>
      <c r="D34" s="12" t="s">
        <v>8</v>
      </c>
      <c r="E34" s="7">
        <v>0.5</v>
      </c>
    </row>
    <row r="35" ht="25.5" customHeight="1">
      <c r="A35" s="7"/>
      <c r="B35" s="10"/>
      <c r="C35" s="7" t="s">
        <v>63</v>
      </c>
      <c r="D35" s="12" t="s">
        <v>64</v>
      </c>
      <c r="E35" s="7">
        <v>1.0</v>
      </c>
    </row>
    <row r="36" ht="25.5" customHeight="1">
      <c r="A36" s="7"/>
      <c r="B36" s="10"/>
      <c r="C36" s="7" t="s">
        <v>68</v>
      </c>
      <c r="D36" s="12" t="s">
        <v>8</v>
      </c>
      <c r="E36" s="7">
        <v>0.2</v>
      </c>
    </row>
    <row r="37" ht="25.5" customHeight="1">
      <c r="A37" s="7" t="s">
        <v>77</v>
      </c>
      <c r="B37" s="10" t="s">
        <v>5</v>
      </c>
      <c r="C37" s="7" t="s">
        <v>31</v>
      </c>
      <c r="D37" s="12" t="s">
        <v>8</v>
      </c>
      <c r="E37" s="7">
        <v>0.75</v>
      </c>
    </row>
    <row r="38" ht="25.5" customHeight="1">
      <c r="A38" s="7"/>
      <c r="B38" s="10"/>
      <c r="C38" s="7" t="s">
        <v>63</v>
      </c>
      <c r="D38" s="12" t="s">
        <v>64</v>
      </c>
      <c r="E38" s="7">
        <v>1.0</v>
      </c>
    </row>
    <row r="39" ht="25.5" customHeight="1">
      <c r="A39" s="7"/>
      <c r="B39" s="10"/>
      <c r="C39" s="7" t="s">
        <v>68</v>
      </c>
      <c r="D39" s="12" t="s">
        <v>8</v>
      </c>
      <c r="E39" s="7">
        <v>0.2</v>
      </c>
    </row>
    <row r="40" ht="25.5" customHeight="1">
      <c r="A40" s="7" t="s">
        <v>81</v>
      </c>
      <c r="B40" s="10" t="s">
        <v>82</v>
      </c>
      <c r="C40" s="7" t="s">
        <v>83</v>
      </c>
      <c r="D40" s="12" t="s">
        <v>82</v>
      </c>
      <c r="E40" s="7">
        <v>1.0</v>
      </c>
    </row>
    <row r="41" ht="25.5" customHeight="1">
      <c r="A41" s="7"/>
      <c r="B41" s="10"/>
      <c r="C41" s="7" t="s">
        <v>63</v>
      </c>
      <c r="D41" s="12" t="s">
        <v>64</v>
      </c>
      <c r="E41" s="7">
        <v>1.0</v>
      </c>
    </row>
    <row r="42" ht="25.5" customHeight="1">
      <c r="A42" s="7"/>
      <c r="B42" s="10"/>
      <c r="C42" s="7" t="s">
        <v>68</v>
      </c>
      <c r="D42" s="12" t="s">
        <v>8</v>
      </c>
      <c r="E42" s="7">
        <v>0.2</v>
      </c>
    </row>
    <row r="43" ht="25.5" customHeight="1">
      <c r="A43" s="7" t="s">
        <v>87</v>
      </c>
      <c r="B43" s="10" t="s">
        <v>5</v>
      </c>
      <c r="C43" s="7" t="s">
        <v>88</v>
      </c>
      <c r="D43" s="12" t="s">
        <v>74</v>
      </c>
      <c r="E43" s="7">
        <v>2.0</v>
      </c>
    </row>
    <row r="44" ht="25.5" customHeight="1">
      <c r="A44" s="7" t="s">
        <v>89</v>
      </c>
      <c r="B44" s="10" t="s">
        <v>5</v>
      </c>
      <c r="C44" s="7" t="s">
        <v>88</v>
      </c>
      <c r="D44" s="12" t="s">
        <v>74</v>
      </c>
      <c r="E44" s="7">
        <v>2.0</v>
      </c>
    </row>
    <row r="45" ht="25.5" customHeight="1">
      <c r="A45" s="7" t="s">
        <v>90</v>
      </c>
      <c r="B45" s="10" t="s">
        <v>5</v>
      </c>
      <c r="C45" s="7" t="s">
        <v>91</v>
      </c>
      <c r="D45" s="12" t="s">
        <v>8</v>
      </c>
      <c r="E45" s="7">
        <v>0.25</v>
      </c>
    </row>
    <row r="46" ht="25.5" customHeight="1">
      <c r="A46" s="7" t="s">
        <v>92</v>
      </c>
      <c r="B46" s="10" t="s">
        <v>5</v>
      </c>
      <c r="C46" s="7" t="s">
        <v>91</v>
      </c>
      <c r="D46" s="12" t="s">
        <v>8</v>
      </c>
      <c r="E46" s="7">
        <v>0.25</v>
      </c>
    </row>
    <row r="47" ht="25.5" customHeight="1">
      <c r="A47" s="7" t="s">
        <v>93</v>
      </c>
      <c r="B47" s="10" t="s">
        <v>5</v>
      </c>
      <c r="C47" s="7" t="s">
        <v>94</v>
      </c>
      <c r="D47" s="12" t="s">
        <v>8</v>
      </c>
      <c r="E47" s="7">
        <v>0.3</v>
      </c>
    </row>
    <row r="48" ht="25.5" customHeight="1">
      <c r="A48" s="7" t="s">
        <v>95</v>
      </c>
      <c r="B48" s="10" t="s">
        <v>5</v>
      </c>
      <c r="C48" s="7" t="s">
        <v>96</v>
      </c>
      <c r="D48" s="12" t="s">
        <v>8</v>
      </c>
      <c r="E48" s="7">
        <v>0.25</v>
      </c>
    </row>
    <row r="49" ht="25.5" customHeight="1">
      <c r="A49" s="7" t="s">
        <v>97</v>
      </c>
      <c r="B49" s="10" t="s">
        <v>5</v>
      </c>
      <c r="C49" s="7" t="s">
        <v>24</v>
      </c>
      <c r="D49" s="12" t="s">
        <v>8</v>
      </c>
      <c r="E49" s="7">
        <v>0.25</v>
      </c>
    </row>
    <row r="50" ht="25.5" customHeight="1">
      <c r="A50" s="7" t="s">
        <v>98</v>
      </c>
      <c r="B50" s="10" t="s">
        <v>5</v>
      </c>
      <c r="C50" s="7" t="s">
        <v>99</v>
      </c>
      <c r="D50" s="12" t="s">
        <v>8</v>
      </c>
      <c r="E50" s="7">
        <v>0.2</v>
      </c>
    </row>
    <row r="51" ht="25.5" customHeight="1">
      <c r="A51" s="7" t="s">
        <v>100</v>
      </c>
      <c r="B51" s="10" t="s">
        <v>5</v>
      </c>
      <c r="C51" s="7" t="s">
        <v>70</v>
      </c>
      <c r="D51" s="12" t="s">
        <v>8</v>
      </c>
      <c r="E51" s="7">
        <v>0.5</v>
      </c>
    </row>
    <row r="52" ht="25.5" customHeight="1">
      <c r="A52" s="7" t="s">
        <v>102</v>
      </c>
      <c r="B52" s="10" t="s">
        <v>5</v>
      </c>
      <c r="C52" s="7" t="s">
        <v>104</v>
      </c>
      <c r="D52" s="12" t="s">
        <v>105</v>
      </c>
      <c r="E52" s="7">
        <v>1.0</v>
      </c>
    </row>
    <row r="53" ht="25.5" customHeight="1">
      <c r="A53" s="7"/>
      <c r="B53" s="10"/>
      <c r="C53" s="7" t="s">
        <v>107</v>
      </c>
      <c r="D53" s="12" t="s">
        <v>8</v>
      </c>
      <c r="E53" s="7">
        <v>0.1</v>
      </c>
    </row>
    <row r="54" ht="25.5" customHeight="1">
      <c r="A54" s="7"/>
      <c r="B54" s="10"/>
      <c r="C54" s="7" t="s">
        <v>109</v>
      </c>
      <c r="D54" s="12" t="s">
        <v>8</v>
      </c>
      <c r="E54" s="7">
        <v>0.1</v>
      </c>
    </row>
    <row r="55" ht="25.5" customHeight="1">
      <c r="A55" s="7"/>
      <c r="B55" s="10"/>
      <c r="C55" s="7" t="s">
        <v>110</v>
      </c>
      <c r="D55" s="12" t="s">
        <v>8</v>
      </c>
      <c r="E55" s="7">
        <v>0.1</v>
      </c>
    </row>
    <row r="56" ht="25.5" customHeight="1">
      <c r="A56" s="7" t="s">
        <v>113</v>
      </c>
      <c r="B56" s="10" t="s">
        <v>5</v>
      </c>
      <c r="C56" s="7" t="s">
        <v>104</v>
      </c>
      <c r="D56" s="12" t="s">
        <v>105</v>
      </c>
      <c r="E56" s="7">
        <v>1.0</v>
      </c>
    </row>
    <row r="57" ht="25.5" customHeight="1">
      <c r="A57" s="7"/>
      <c r="B57" s="10"/>
      <c r="C57" s="7" t="s">
        <v>107</v>
      </c>
      <c r="D57" s="12" t="s">
        <v>8</v>
      </c>
      <c r="E57" s="7">
        <v>0.1</v>
      </c>
    </row>
    <row r="58" ht="25.5" customHeight="1">
      <c r="A58" s="7"/>
      <c r="B58" s="10"/>
      <c r="C58" s="7" t="s">
        <v>109</v>
      </c>
      <c r="D58" s="12" t="s">
        <v>8</v>
      </c>
      <c r="E58" s="7">
        <v>0.1</v>
      </c>
    </row>
    <row r="59" ht="25.5" customHeight="1">
      <c r="A59" s="7"/>
      <c r="B59" s="10"/>
      <c r="C59" s="7" t="s">
        <v>110</v>
      </c>
      <c r="D59" s="12" t="s">
        <v>8</v>
      </c>
      <c r="E59" s="7">
        <v>0.1</v>
      </c>
    </row>
    <row r="60" ht="25.5" customHeight="1">
      <c r="A60" s="7"/>
      <c r="B60" s="10"/>
      <c r="C60" s="7" t="s">
        <v>114</v>
      </c>
      <c r="D60" s="12" t="s">
        <v>8</v>
      </c>
      <c r="E60" s="7">
        <v>0.1</v>
      </c>
    </row>
    <row r="61" ht="25.5" customHeight="1">
      <c r="A61" s="7" t="s">
        <v>116</v>
      </c>
      <c r="B61" s="10" t="s">
        <v>5</v>
      </c>
      <c r="C61" s="7" t="s">
        <v>117</v>
      </c>
      <c r="D61" s="12" t="s">
        <v>8</v>
      </c>
      <c r="E61" s="7">
        <v>0.05</v>
      </c>
    </row>
    <row r="62" ht="25.5" customHeight="1">
      <c r="A62" s="7"/>
      <c r="B62" s="10"/>
      <c r="C62" s="7" t="s">
        <v>118</v>
      </c>
      <c r="D62" s="12" t="s">
        <v>8</v>
      </c>
      <c r="E62" s="7">
        <v>0.05</v>
      </c>
    </row>
    <row r="63" ht="25.5" customHeight="1">
      <c r="A63" s="7" t="s">
        <v>119</v>
      </c>
      <c r="B63" s="10" t="s">
        <v>5</v>
      </c>
      <c r="C63" s="7" t="s">
        <v>121</v>
      </c>
      <c r="D63" s="12" t="s">
        <v>8</v>
      </c>
      <c r="E63" s="7">
        <v>0.15</v>
      </c>
    </row>
    <row r="64" ht="25.5" customHeight="1">
      <c r="A64" s="7" t="s">
        <v>122</v>
      </c>
      <c r="B64" s="10" t="s">
        <v>5</v>
      </c>
      <c r="C64" s="7" t="s">
        <v>121</v>
      </c>
      <c r="D64" s="12" t="s">
        <v>8</v>
      </c>
      <c r="E64" s="7">
        <v>0.15</v>
      </c>
    </row>
    <row r="65" ht="25.5" customHeight="1">
      <c r="A65" s="7"/>
      <c r="B65" s="10"/>
      <c r="C65" s="7" t="s">
        <v>60</v>
      </c>
      <c r="D65" s="12" t="s">
        <v>8</v>
      </c>
      <c r="E65" s="7">
        <v>0.05</v>
      </c>
    </row>
    <row r="66" ht="25.5" customHeight="1">
      <c r="A66" s="7" t="s">
        <v>124</v>
      </c>
      <c r="B66" s="10" t="s">
        <v>5</v>
      </c>
      <c r="C66" s="7" t="s">
        <v>125</v>
      </c>
      <c r="D66" s="12" t="s">
        <v>8</v>
      </c>
      <c r="E66" s="7">
        <v>0.2</v>
      </c>
    </row>
    <row r="67" ht="25.5" customHeight="1">
      <c r="A67" s="7"/>
      <c r="B67" s="10"/>
      <c r="C67" s="7" t="s">
        <v>126</v>
      </c>
      <c r="D67" s="12" t="s">
        <v>8</v>
      </c>
      <c r="E67" s="7">
        <v>0.1</v>
      </c>
    </row>
    <row r="68" ht="25.5" customHeight="1">
      <c r="A68" s="7" t="s">
        <v>128</v>
      </c>
      <c r="B68" s="10" t="s">
        <v>5</v>
      </c>
      <c r="C68" s="7" t="s">
        <v>125</v>
      </c>
      <c r="D68" s="12" t="s">
        <v>8</v>
      </c>
      <c r="E68" s="7">
        <v>0.2</v>
      </c>
    </row>
    <row r="69" ht="25.5" customHeight="1">
      <c r="A69" s="7"/>
      <c r="B69" s="10"/>
      <c r="C69" s="7" t="s">
        <v>126</v>
      </c>
      <c r="D69" s="12" t="s">
        <v>8</v>
      </c>
      <c r="E69" s="7">
        <v>0.05</v>
      </c>
    </row>
    <row r="70" ht="25.5" customHeight="1">
      <c r="A70" s="7" t="s">
        <v>130</v>
      </c>
      <c r="B70" s="10" t="s">
        <v>5</v>
      </c>
      <c r="C70" s="7" t="s">
        <v>31</v>
      </c>
      <c r="D70" s="12" t="s">
        <v>8</v>
      </c>
      <c r="E70" s="7">
        <v>0.2</v>
      </c>
    </row>
    <row r="71" ht="25.5" customHeight="1">
      <c r="A71" s="7"/>
      <c r="B71" s="10"/>
      <c r="C71" s="7" t="s">
        <v>131</v>
      </c>
      <c r="D71" s="12" t="s">
        <v>132</v>
      </c>
      <c r="E71" s="7" t="s">
        <v>134</v>
      </c>
    </row>
    <row r="72" ht="25.5" customHeight="1">
      <c r="A72" s="7" t="s">
        <v>135</v>
      </c>
      <c r="B72" s="10" t="s">
        <v>5</v>
      </c>
      <c r="C72" s="7" t="s">
        <v>136</v>
      </c>
      <c r="D72" s="12" t="s">
        <v>8</v>
      </c>
      <c r="E72" s="7">
        <v>0.3</v>
      </c>
    </row>
    <row r="73" ht="25.5" customHeight="1">
      <c r="A73" s="7" t="s">
        <v>139</v>
      </c>
      <c r="B73" s="10" t="s">
        <v>5</v>
      </c>
      <c r="C73" s="7" t="s">
        <v>136</v>
      </c>
      <c r="D73" s="12" t="s">
        <v>8</v>
      </c>
      <c r="E73" s="7">
        <v>0.3</v>
      </c>
    </row>
    <row r="74" ht="25.5" customHeight="1">
      <c r="A74" s="7"/>
      <c r="B74" s="10"/>
      <c r="C74" s="7" t="s">
        <v>140</v>
      </c>
      <c r="D74" s="12" t="s">
        <v>141</v>
      </c>
      <c r="E74" s="7">
        <v>1.0</v>
      </c>
    </row>
    <row r="75" ht="25.5" customHeight="1">
      <c r="A75" s="7" t="s">
        <v>142</v>
      </c>
      <c r="B75" s="10" t="s">
        <v>5</v>
      </c>
      <c r="C75" s="7" t="s">
        <v>41</v>
      </c>
      <c r="D75" s="12" t="s">
        <v>8</v>
      </c>
      <c r="E75" s="7">
        <v>0.3</v>
      </c>
    </row>
    <row r="76" ht="25.5" customHeight="1">
      <c r="A76" s="7" t="s">
        <v>144</v>
      </c>
      <c r="B76" s="10" t="s">
        <v>5</v>
      </c>
      <c r="C76" s="7" t="s">
        <v>107</v>
      </c>
      <c r="D76" s="12" t="s">
        <v>8</v>
      </c>
      <c r="E76" s="7">
        <v>0.2</v>
      </c>
    </row>
    <row r="77" ht="25.5" customHeight="1">
      <c r="A77" s="7"/>
      <c r="B77" s="10"/>
      <c r="C77" s="7" t="s">
        <v>109</v>
      </c>
      <c r="D77" s="12" t="s">
        <v>8</v>
      </c>
      <c r="E77" s="7">
        <v>0.2</v>
      </c>
    </row>
    <row r="78" ht="25.5" customHeight="1">
      <c r="A78" s="7"/>
      <c r="B78" s="10"/>
      <c r="C78" s="7" t="s">
        <v>110</v>
      </c>
      <c r="D78" s="12" t="s">
        <v>8</v>
      </c>
      <c r="E78" s="7">
        <v>0.2</v>
      </c>
    </row>
    <row r="79" ht="25.5" customHeight="1">
      <c r="A79" s="7" t="s">
        <v>147</v>
      </c>
      <c r="B79" s="10" t="s">
        <v>5</v>
      </c>
      <c r="C79" s="7" t="s">
        <v>148</v>
      </c>
      <c r="D79" s="12" t="s">
        <v>8</v>
      </c>
      <c r="E79" s="7">
        <v>0.3</v>
      </c>
    </row>
    <row r="80" ht="25.5" customHeight="1">
      <c r="A80" s="7" t="s">
        <v>149</v>
      </c>
      <c r="B80" s="10" t="s">
        <v>5</v>
      </c>
      <c r="C80" s="7" t="s">
        <v>148</v>
      </c>
      <c r="D80" s="12" t="s">
        <v>8</v>
      </c>
      <c r="E80" s="7">
        <v>0.3</v>
      </c>
    </row>
    <row r="81" ht="25.5" customHeight="1">
      <c r="A81" s="7"/>
      <c r="B81" s="10"/>
      <c r="C81" s="7" t="s">
        <v>150</v>
      </c>
      <c r="D81" s="12" t="s">
        <v>8</v>
      </c>
      <c r="E81" s="7">
        <v>0.02</v>
      </c>
    </row>
    <row r="82" ht="25.5" customHeight="1">
      <c r="A82" s="7"/>
      <c r="B82" s="10"/>
      <c r="C82" s="7" t="s">
        <v>25</v>
      </c>
      <c r="D82" s="12" t="s">
        <v>8</v>
      </c>
      <c r="E82" s="7">
        <v>0.02</v>
      </c>
    </row>
    <row r="83" ht="25.5" customHeight="1">
      <c r="A83" s="7" t="s">
        <v>151</v>
      </c>
      <c r="B83" s="10" t="s">
        <v>5</v>
      </c>
      <c r="C83" s="7" t="s">
        <v>117</v>
      </c>
      <c r="D83" s="12" t="s">
        <v>8</v>
      </c>
      <c r="E83" s="7">
        <v>0.05</v>
      </c>
    </row>
    <row r="84" ht="25.5" customHeight="1">
      <c r="A84" s="7" t="s">
        <v>152</v>
      </c>
      <c r="B84" s="10" t="s">
        <v>5</v>
      </c>
      <c r="C84" s="7" t="s">
        <v>154</v>
      </c>
      <c r="D84" s="12" t="s">
        <v>8</v>
      </c>
      <c r="E84" s="7">
        <v>0.1</v>
      </c>
    </row>
    <row r="85" ht="25.5" customHeight="1">
      <c r="A85" s="7"/>
      <c r="B85" s="10"/>
      <c r="C85" s="7" t="s">
        <v>96</v>
      </c>
      <c r="D85" s="12" t="s">
        <v>8</v>
      </c>
      <c r="E85" s="7">
        <v>0.05</v>
      </c>
    </row>
    <row r="86" ht="25.5" customHeight="1">
      <c r="A86" s="7"/>
      <c r="B86" s="10"/>
      <c r="C86" s="7" t="s">
        <v>107</v>
      </c>
      <c r="D86" s="12" t="s">
        <v>8</v>
      </c>
      <c r="E86" s="7">
        <v>0.1</v>
      </c>
    </row>
    <row r="87" ht="25.5" customHeight="1">
      <c r="A87" s="7"/>
      <c r="B87" s="10"/>
      <c r="C87" s="7" t="s">
        <v>109</v>
      </c>
      <c r="D87" s="12" t="s">
        <v>8</v>
      </c>
      <c r="E87" s="7">
        <v>0.1</v>
      </c>
    </row>
    <row r="88" ht="25.5" customHeight="1">
      <c r="A88" s="7"/>
      <c r="B88" s="10"/>
      <c r="C88" s="7" t="s">
        <v>110</v>
      </c>
      <c r="D88" s="12" t="s">
        <v>8</v>
      </c>
      <c r="E88" s="7">
        <v>0.1</v>
      </c>
    </row>
    <row r="89" ht="25.5" customHeight="1">
      <c r="A89" s="7" t="s">
        <v>159</v>
      </c>
      <c r="B89" s="10" t="s">
        <v>5</v>
      </c>
      <c r="C89" s="7" t="s">
        <v>117</v>
      </c>
      <c r="D89" s="12" t="s">
        <v>8</v>
      </c>
      <c r="E89" s="7">
        <v>0.05</v>
      </c>
    </row>
    <row r="90" ht="25.5" customHeight="1">
      <c r="A90" s="7"/>
      <c r="B90" s="10"/>
      <c r="C90" s="7" t="s">
        <v>118</v>
      </c>
      <c r="D90" s="12" t="s">
        <v>8</v>
      </c>
      <c r="E90" s="7">
        <v>0.05</v>
      </c>
    </row>
    <row r="91" ht="25.5" customHeight="1">
      <c r="A91" s="7"/>
      <c r="B91" s="10"/>
      <c r="C91" s="7" t="s">
        <v>24</v>
      </c>
      <c r="D91" s="12" t="s">
        <v>8</v>
      </c>
      <c r="E91" s="7">
        <v>0.05</v>
      </c>
    </row>
    <row r="92" ht="25.5" customHeight="1">
      <c r="A92" s="7"/>
      <c r="B92" s="10"/>
      <c r="C92" s="7" t="s">
        <v>163</v>
      </c>
      <c r="D92" s="12" t="s">
        <v>8</v>
      </c>
      <c r="E92" s="7">
        <v>0.05</v>
      </c>
    </row>
    <row r="93" ht="25.5" customHeight="1">
      <c r="A93" s="7" t="s">
        <v>164</v>
      </c>
      <c r="B93" s="10" t="s">
        <v>5</v>
      </c>
      <c r="C93" s="7" t="s">
        <v>117</v>
      </c>
      <c r="D93" s="12" t="s">
        <v>8</v>
      </c>
      <c r="E93" s="7">
        <v>0.05</v>
      </c>
    </row>
    <row r="94" ht="25.5" customHeight="1">
      <c r="A94" s="7"/>
      <c r="B94" s="10"/>
      <c r="C94" s="7" t="s">
        <v>118</v>
      </c>
      <c r="D94" s="12" t="s">
        <v>8</v>
      </c>
      <c r="E94" s="7">
        <v>0.05</v>
      </c>
    </row>
    <row r="95" ht="25.5" customHeight="1">
      <c r="A95" s="7"/>
      <c r="B95" s="10"/>
      <c r="C95" s="7" t="s">
        <v>48</v>
      </c>
      <c r="D95" s="12" t="s">
        <v>8</v>
      </c>
      <c r="E95" s="7">
        <v>0.2</v>
      </c>
    </row>
    <row r="96" ht="25.5" customHeight="1">
      <c r="A96" s="7" t="s">
        <v>168</v>
      </c>
      <c r="B96" s="10" t="s">
        <v>5</v>
      </c>
      <c r="C96" s="7" t="s">
        <v>169</v>
      </c>
      <c r="D96" s="12" t="s">
        <v>8</v>
      </c>
      <c r="E96" s="7">
        <v>0.2</v>
      </c>
    </row>
    <row r="97" ht="25.5" customHeight="1">
      <c r="A97" s="7"/>
      <c r="B97" s="10"/>
      <c r="C97" s="7" t="s">
        <v>27</v>
      </c>
      <c r="D97" s="12" t="s">
        <v>8</v>
      </c>
      <c r="E97" s="7">
        <v>0.05</v>
      </c>
    </row>
    <row r="98" ht="25.5" customHeight="1">
      <c r="A98" s="7" t="s">
        <v>170</v>
      </c>
      <c r="B98" s="10" t="s">
        <v>5</v>
      </c>
      <c r="C98" s="7" t="s">
        <v>31</v>
      </c>
      <c r="D98" s="12" t="s">
        <v>8</v>
      </c>
      <c r="E98" s="7">
        <v>0.4</v>
      </c>
    </row>
    <row r="99" ht="25.5" customHeight="1">
      <c r="A99" s="7" t="s">
        <v>171</v>
      </c>
      <c r="B99" s="10" t="s">
        <v>5</v>
      </c>
      <c r="C99" s="7" t="s">
        <v>172</v>
      </c>
      <c r="D99" s="12" t="s">
        <v>8</v>
      </c>
      <c r="E99" s="7">
        <v>0.2</v>
      </c>
    </row>
    <row r="100" ht="25.5" customHeight="1">
      <c r="A100" s="7"/>
      <c r="B100" s="10"/>
      <c r="C100" s="7" t="s">
        <v>173</v>
      </c>
      <c r="D100" s="12" t="s">
        <v>8</v>
      </c>
      <c r="E100" s="7">
        <v>0.03</v>
      </c>
    </row>
    <row r="101" ht="25.5" customHeight="1">
      <c r="A101" s="7" t="s">
        <v>174</v>
      </c>
      <c r="B101" s="10" t="s">
        <v>5</v>
      </c>
      <c r="C101" s="7" t="s">
        <v>94</v>
      </c>
      <c r="D101" s="12" t="s">
        <v>8</v>
      </c>
      <c r="E101" s="7">
        <v>0.4</v>
      </c>
    </row>
    <row r="102" ht="25.5" customHeight="1">
      <c r="A102" s="7"/>
      <c r="B102" s="10"/>
      <c r="C102" s="111" t="s">
        <v>175</v>
      </c>
      <c r="D102" s="12" t="s">
        <v>176</v>
      </c>
      <c r="E102" s="7">
        <v>0.25</v>
      </c>
    </row>
    <row r="103" ht="25.5" customHeight="1">
      <c r="A103" s="7" t="s">
        <v>178</v>
      </c>
      <c r="B103" s="10" t="s">
        <v>5</v>
      </c>
      <c r="C103" s="7" t="s">
        <v>179</v>
      </c>
      <c r="D103" s="12" t="s">
        <v>8</v>
      </c>
      <c r="E103" s="7">
        <v>0.15</v>
      </c>
    </row>
    <row r="104" ht="25.5" customHeight="1">
      <c r="A104" s="7"/>
      <c r="B104" s="10"/>
      <c r="C104" s="7" t="s">
        <v>180</v>
      </c>
      <c r="D104" s="12" t="s">
        <v>8</v>
      </c>
      <c r="E104" s="7">
        <v>0.05</v>
      </c>
    </row>
    <row r="105" ht="25.5" customHeight="1">
      <c r="A105" s="7"/>
      <c r="B105" s="10"/>
      <c r="C105" s="7" t="s">
        <v>181</v>
      </c>
      <c r="D105" s="12" t="s">
        <v>8</v>
      </c>
      <c r="E105" s="7">
        <v>0.1</v>
      </c>
    </row>
    <row r="106" ht="25.5" customHeight="1">
      <c r="A106" s="7" t="s">
        <v>182</v>
      </c>
      <c r="B106" s="10" t="s">
        <v>5</v>
      </c>
      <c r="C106" s="7" t="s">
        <v>179</v>
      </c>
      <c r="D106" s="12" t="s">
        <v>8</v>
      </c>
      <c r="E106" s="7">
        <v>0.15</v>
      </c>
    </row>
    <row r="107" ht="25.5" customHeight="1">
      <c r="A107" s="7"/>
      <c r="B107" s="10"/>
      <c r="C107" s="7" t="s">
        <v>180</v>
      </c>
      <c r="D107" s="12" t="s">
        <v>8</v>
      </c>
      <c r="E107" s="7">
        <v>0.05</v>
      </c>
    </row>
    <row r="108" ht="25.5" customHeight="1">
      <c r="A108" s="7"/>
      <c r="B108" s="10"/>
      <c r="C108" s="7" t="s">
        <v>24</v>
      </c>
      <c r="D108" s="12" t="s">
        <v>8</v>
      </c>
      <c r="E108" s="7">
        <v>0.1</v>
      </c>
    </row>
    <row r="109" ht="25.5" customHeight="1">
      <c r="A109" s="7" t="s">
        <v>184</v>
      </c>
      <c r="B109" s="10" t="s">
        <v>5</v>
      </c>
      <c r="C109" s="7" t="s">
        <v>58</v>
      </c>
      <c r="D109" s="12" t="s">
        <v>8</v>
      </c>
      <c r="E109" s="7">
        <v>0.1</v>
      </c>
    </row>
    <row r="110" ht="25.5" customHeight="1">
      <c r="A110" s="7"/>
      <c r="B110" s="10"/>
      <c r="C110" s="7" t="s">
        <v>185</v>
      </c>
      <c r="D110" s="12" t="s">
        <v>176</v>
      </c>
      <c r="E110" s="7">
        <v>0.15</v>
      </c>
    </row>
    <row r="111" ht="25.5" customHeight="1">
      <c r="A111" s="7" t="s">
        <v>186</v>
      </c>
      <c r="B111" s="10" t="s">
        <v>5</v>
      </c>
      <c r="C111" s="111" t="s">
        <v>175</v>
      </c>
      <c r="D111" s="12" t="s">
        <v>8</v>
      </c>
      <c r="E111" s="7">
        <v>0.25</v>
      </c>
    </row>
    <row r="112" ht="25.5" customHeight="1">
      <c r="A112" s="7"/>
      <c r="B112" s="10"/>
      <c r="C112" s="7" t="s">
        <v>70</v>
      </c>
      <c r="D112" s="12" t="s">
        <v>176</v>
      </c>
      <c r="E112" s="7">
        <v>0.25</v>
      </c>
    </row>
    <row r="113" ht="25.5" customHeight="1">
      <c r="C113" s="7" t="s">
        <v>185</v>
      </c>
      <c r="D113" s="12" t="s">
        <v>8</v>
      </c>
      <c r="E113" s="7">
        <v>0.2</v>
      </c>
    </row>
    <row r="114" ht="25.5" customHeight="1">
      <c r="A114" s="7" t="s">
        <v>187</v>
      </c>
      <c r="B114" s="10" t="s">
        <v>156</v>
      </c>
      <c r="C114" s="7" t="s">
        <v>70</v>
      </c>
      <c r="D114" s="12" t="s">
        <v>8</v>
      </c>
      <c r="E114" s="7">
        <v>0.5</v>
      </c>
    </row>
    <row r="115" ht="25.5" customHeight="1">
      <c r="A115" s="7"/>
      <c r="B115" s="10"/>
      <c r="C115" s="111" t="s">
        <v>175</v>
      </c>
      <c r="D115" s="12" t="s">
        <v>176</v>
      </c>
      <c r="E115" s="7">
        <v>0.5</v>
      </c>
    </row>
    <row r="116" ht="25.5" customHeight="1">
      <c r="A116" s="7"/>
      <c r="B116" s="10"/>
      <c r="C116" s="7" t="s">
        <v>41</v>
      </c>
      <c r="D116" s="12" t="s">
        <v>8</v>
      </c>
      <c r="E116" s="7">
        <v>0.15</v>
      </c>
    </row>
    <row r="117" ht="25.5" customHeight="1">
      <c r="A117" s="7"/>
      <c r="B117" s="10"/>
      <c r="C117" s="7" t="s">
        <v>185</v>
      </c>
      <c r="D117" s="12" t="s">
        <v>8</v>
      </c>
      <c r="E117" s="7">
        <v>0.3</v>
      </c>
    </row>
    <row r="118" ht="25.5" customHeight="1">
      <c r="C118" s="7" t="s">
        <v>148</v>
      </c>
      <c r="D118" s="12" t="s">
        <v>8</v>
      </c>
      <c r="E118" s="7">
        <v>0.15</v>
      </c>
    </row>
    <row r="119" ht="25.5" customHeight="1">
      <c r="A119" s="7"/>
      <c r="B119" s="10"/>
      <c r="C119" s="7" t="s">
        <v>109</v>
      </c>
      <c r="D119" s="12" t="s">
        <v>8</v>
      </c>
      <c r="E119" s="7">
        <v>0.15</v>
      </c>
    </row>
    <row r="120" ht="25.5" customHeight="1">
      <c r="A120" s="7"/>
      <c r="B120" s="10"/>
      <c r="C120" s="7" t="s">
        <v>104</v>
      </c>
      <c r="D120" s="12" t="s">
        <v>105</v>
      </c>
      <c r="E120" s="7">
        <v>3.0</v>
      </c>
    </row>
    <row r="121" ht="25.5" customHeight="1">
      <c r="A121" s="7" t="s">
        <v>191</v>
      </c>
      <c r="B121" s="10" t="s">
        <v>156</v>
      </c>
      <c r="C121" s="7" t="s">
        <v>58</v>
      </c>
      <c r="D121" s="12" t="s">
        <v>8</v>
      </c>
      <c r="E121" s="7">
        <v>0.3</v>
      </c>
    </row>
    <row r="122" ht="25.5" customHeight="1">
      <c r="A122" s="7"/>
      <c r="B122" s="10"/>
      <c r="C122" s="111" t="s">
        <v>175</v>
      </c>
      <c r="D122" s="12" t="s">
        <v>176</v>
      </c>
      <c r="E122" s="7">
        <v>0.5</v>
      </c>
    </row>
    <row r="123" ht="25.5" customHeight="1">
      <c r="A123" s="7"/>
      <c r="B123" s="10"/>
      <c r="C123" s="7" t="s">
        <v>41</v>
      </c>
      <c r="D123" s="12" t="s">
        <v>8</v>
      </c>
      <c r="E123" s="7">
        <v>0.15</v>
      </c>
    </row>
    <row r="124" ht="25.5" customHeight="1">
      <c r="C124" s="7" t="s">
        <v>185</v>
      </c>
      <c r="D124" s="12" t="s">
        <v>8</v>
      </c>
      <c r="E124" s="7">
        <v>0.3</v>
      </c>
    </row>
    <row r="125" ht="25.5" customHeight="1">
      <c r="A125" s="7"/>
      <c r="B125" s="10"/>
      <c r="C125" s="7" t="s">
        <v>148</v>
      </c>
      <c r="D125" s="12" t="s">
        <v>8</v>
      </c>
      <c r="E125" s="7">
        <v>0.15</v>
      </c>
    </row>
    <row r="126" ht="25.5" customHeight="1">
      <c r="A126" s="7"/>
      <c r="B126" s="10"/>
      <c r="C126" s="7" t="s">
        <v>109</v>
      </c>
      <c r="D126" s="12" t="s">
        <v>8</v>
      </c>
      <c r="E126" s="7">
        <v>0.15</v>
      </c>
    </row>
    <row r="127" ht="25.5" customHeight="1">
      <c r="A127" s="7"/>
      <c r="B127" s="10"/>
      <c r="C127" s="7" t="s">
        <v>104</v>
      </c>
      <c r="D127" s="12" t="s">
        <v>105</v>
      </c>
      <c r="E127" s="7">
        <v>3.0</v>
      </c>
    </row>
    <row r="128" ht="25.5" customHeight="1">
      <c r="A128" s="7" t="s">
        <v>196</v>
      </c>
      <c r="B128" s="10" t="s">
        <v>156</v>
      </c>
      <c r="C128" s="7" t="s">
        <v>31</v>
      </c>
      <c r="D128" s="12" t="s">
        <v>8</v>
      </c>
      <c r="E128" s="7">
        <v>0.75</v>
      </c>
    </row>
    <row r="129" ht="25.5" customHeight="1">
      <c r="A129" s="7"/>
      <c r="B129" s="10"/>
      <c r="C129" s="7" t="s">
        <v>41</v>
      </c>
      <c r="D129" s="12" t="s">
        <v>8</v>
      </c>
      <c r="E129" s="7">
        <v>0.15</v>
      </c>
    </row>
    <row r="130" ht="25.5" customHeight="1">
      <c r="A130" s="7"/>
      <c r="B130" s="10"/>
      <c r="C130" s="7" t="s">
        <v>185</v>
      </c>
      <c r="D130" s="12" t="s">
        <v>8</v>
      </c>
      <c r="E130" s="7">
        <v>0.1</v>
      </c>
    </row>
    <row r="131" ht="25.5" customHeight="1">
      <c r="A131" s="7"/>
      <c r="B131" s="10"/>
      <c r="C131" s="7" t="s">
        <v>148</v>
      </c>
      <c r="D131" s="12" t="s">
        <v>8</v>
      </c>
      <c r="E131" s="7">
        <v>0.15</v>
      </c>
    </row>
    <row r="132" ht="25.5" customHeight="1">
      <c r="A132" s="7"/>
      <c r="B132" s="10"/>
      <c r="C132" s="7" t="s">
        <v>109</v>
      </c>
      <c r="D132" s="12" t="s">
        <v>8</v>
      </c>
      <c r="E132" s="7">
        <v>0.15</v>
      </c>
    </row>
    <row r="133" ht="25.5" customHeight="1">
      <c r="A133" s="7"/>
      <c r="B133" s="10"/>
      <c r="C133" s="7" t="s">
        <v>202</v>
      </c>
      <c r="D133" s="12" t="s">
        <v>8</v>
      </c>
      <c r="E133" s="7">
        <v>0.15</v>
      </c>
    </row>
    <row r="134" ht="25.5" customHeight="1">
      <c r="A134" s="7"/>
      <c r="B134" s="10"/>
      <c r="C134" s="7" t="s">
        <v>104</v>
      </c>
      <c r="D134" s="12" t="s">
        <v>105</v>
      </c>
      <c r="E134" s="7">
        <v>3.0</v>
      </c>
    </row>
    <row r="135" ht="25.5" customHeight="1">
      <c r="A135" s="7" t="s">
        <v>203</v>
      </c>
      <c r="B135" s="10" t="s">
        <v>204</v>
      </c>
      <c r="C135" s="7" t="s">
        <v>165</v>
      </c>
      <c r="D135" s="12" t="s">
        <v>8</v>
      </c>
      <c r="E135" s="7">
        <v>0.05</v>
      </c>
    </row>
    <row r="136" ht="25.5" customHeight="1">
      <c r="A136" s="7" t="s">
        <v>205</v>
      </c>
      <c r="B136" s="10" t="s">
        <v>204</v>
      </c>
      <c r="C136" s="7" t="s">
        <v>118</v>
      </c>
      <c r="D136" s="12" t="s">
        <v>8</v>
      </c>
      <c r="E136" s="7">
        <v>0.05</v>
      </c>
    </row>
    <row r="137" ht="25.5" customHeight="1">
      <c r="A137" s="7" t="s">
        <v>206</v>
      </c>
      <c r="B137" s="10" t="s">
        <v>5</v>
      </c>
      <c r="C137" s="7" t="s">
        <v>207</v>
      </c>
      <c r="D137" s="12" t="s">
        <v>8</v>
      </c>
      <c r="E137" s="7">
        <v>0.3</v>
      </c>
    </row>
    <row r="138" ht="25.5" customHeight="1">
      <c r="A138" s="7"/>
      <c r="B138" s="10"/>
      <c r="C138" s="7" t="s">
        <v>208</v>
      </c>
      <c r="D138" s="12" t="s">
        <v>8</v>
      </c>
      <c r="E138" s="7">
        <v>0.3</v>
      </c>
    </row>
    <row r="139" ht="25.5" customHeight="1">
      <c r="A139" s="7"/>
      <c r="B139" s="10"/>
      <c r="C139" s="7" t="s">
        <v>209</v>
      </c>
      <c r="D139" s="12" t="s">
        <v>8</v>
      </c>
      <c r="E139" s="7">
        <v>0.3</v>
      </c>
    </row>
    <row r="140" ht="25.5" customHeight="1">
      <c r="A140" s="7" t="s">
        <v>211</v>
      </c>
      <c r="B140" s="10" t="s">
        <v>5</v>
      </c>
      <c r="C140" s="7" t="s">
        <v>212</v>
      </c>
      <c r="D140" s="12" t="s">
        <v>13</v>
      </c>
      <c r="E140" s="7">
        <v>0.05</v>
      </c>
    </row>
    <row r="141" ht="25.5" customHeight="1">
      <c r="A141" s="7" t="s">
        <v>214</v>
      </c>
      <c r="B141" s="10" t="s">
        <v>215</v>
      </c>
      <c r="C141" s="7" t="s">
        <v>217</v>
      </c>
      <c r="D141" s="12" t="s">
        <v>215</v>
      </c>
      <c r="E141" s="7">
        <v>1.0</v>
      </c>
    </row>
    <row r="142" ht="25.5" customHeight="1">
      <c r="A142" s="7" t="s">
        <v>219</v>
      </c>
      <c r="B142" s="10" t="s">
        <v>5</v>
      </c>
      <c r="C142" s="7" t="s">
        <v>212</v>
      </c>
      <c r="D142" s="12" t="s">
        <v>13</v>
      </c>
      <c r="E142" s="7">
        <v>0.05</v>
      </c>
    </row>
    <row r="143" ht="25.5" customHeight="1">
      <c r="A143" s="7" t="s">
        <v>221</v>
      </c>
      <c r="B143" s="10" t="s">
        <v>5</v>
      </c>
      <c r="C143" s="7" t="s">
        <v>222</v>
      </c>
      <c r="D143" s="12" t="s">
        <v>13</v>
      </c>
      <c r="E143" s="7">
        <v>0.05</v>
      </c>
    </row>
    <row r="144" ht="25.5" customHeight="1">
      <c r="A144" s="7" t="s">
        <v>224</v>
      </c>
      <c r="B144" s="10" t="s">
        <v>5</v>
      </c>
      <c r="C144" s="7" t="s">
        <v>126</v>
      </c>
      <c r="D144" s="12" t="s">
        <v>8</v>
      </c>
      <c r="E144" s="7">
        <v>0.15</v>
      </c>
    </row>
    <row r="145" ht="25.5" customHeight="1">
      <c r="A145" s="7" t="s">
        <v>225</v>
      </c>
      <c r="B145" s="10" t="s">
        <v>5</v>
      </c>
      <c r="C145" s="7" t="s">
        <v>226</v>
      </c>
      <c r="D145" s="12" t="s">
        <v>112</v>
      </c>
      <c r="E145" s="7">
        <v>2.0</v>
      </c>
    </row>
    <row r="146" ht="25.5" customHeight="1">
      <c r="A146" s="7" t="s">
        <v>227</v>
      </c>
      <c r="B146" s="10" t="s">
        <v>228</v>
      </c>
      <c r="C146" s="7" t="s">
        <v>230</v>
      </c>
      <c r="D146" s="12" t="s">
        <v>8</v>
      </c>
      <c r="E146" s="7">
        <v>0.05</v>
      </c>
    </row>
    <row r="147" ht="25.5" customHeight="1">
      <c r="A147" s="7"/>
      <c r="B147" s="10"/>
      <c r="C147" s="7" t="s">
        <v>31</v>
      </c>
      <c r="D147" s="12" t="s">
        <v>8</v>
      </c>
      <c r="E147" s="7">
        <v>0.2</v>
      </c>
    </row>
    <row r="148" ht="25.5" customHeight="1">
      <c r="A148" s="7" t="s">
        <v>231</v>
      </c>
      <c r="B148" s="10" t="s">
        <v>228</v>
      </c>
      <c r="C148" s="7" t="s">
        <v>230</v>
      </c>
      <c r="D148" s="12" t="s">
        <v>8</v>
      </c>
      <c r="E148" s="7">
        <v>0.05</v>
      </c>
    </row>
    <row r="149" ht="25.5" customHeight="1">
      <c r="A149" s="7"/>
      <c r="B149" s="10"/>
      <c r="C149" s="7" t="s">
        <v>114</v>
      </c>
      <c r="D149" s="12" t="s">
        <v>8</v>
      </c>
      <c r="E149" s="7">
        <v>0.075</v>
      </c>
    </row>
    <row r="150" ht="25.5" customHeight="1">
      <c r="A150" s="7" t="s">
        <v>233</v>
      </c>
      <c r="B150" s="10" t="s">
        <v>228</v>
      </c>
      <c r="C150" s="7" t="s">
        <v>234</v>
      </c>
      <c r="D150" s="12" t="s">
        <v>8</v>
      </c>
      <c r="E150" s="7">
        <v>0.05</v>
      </c>
    </row>
    <row r="151" ht="25.5" customHeight="1">
      <c r="A151" s="7"/>
      <c r="B151" s="10"/>
      <c r="C151" s="7" t="s">
        <v>114</v>
      </c>
      <c r="D151" s="12" t="s">
        <v>8</v>
      </c>
      <c r="E151" s="7">
        <v>0.075</v>
      </c>
    </row>
    <row r="152" ht="25.5" customHeight="1">
      <c r="A152" s="7" t="s">
        <v>235</v>
      </c>
      <c r="B152" s="10" t="s">
        <v>228</v>
      </c>
      <c r="C152" s="7" t="s">
        <v>234</v>
      </c>
      <c r="D152" s="12" t="s">
        <v>8</v>
      </c>
      <c r="E152" s="7">
        <v>0.05</v>
      </c>
    </row>
    <row r="153" ht="25.5" customHeight="1">
      <c r="A153" s="7"/>
      <c r="B153" s="10"/>
      <c r="C153" s="7" t="s">
        <v>31</v>
      </c>
      <c r="D153" s="12" t="s">
        <v>8</v>
      </c>
      <c r="E153" s="7">
        <v>0.2</v>
      </c>
    </row>
    <row r="154" ht="25.5" customHeight="1">
      <c r="A154" s="7" t="s">
        <v>239</v>
      </c>
      <c r="B154" s="10" t="s">
        <v>228</v>
      </c>
      <c r="C154" s="7" t="s">
        <v>104</v>
      </c>
      <c r="D154" s="12" t="s">
        <v>105</v>
      </c>
      <c r="E154" s="7">
        <v>1.0</v>
      </c>
    </row>
    <row r="155" ht="25.5" customHeight="1">
      <c r="A155" s="7"/>
      <c r="B155" s="10"/>
      <c r="C155" s="7" t="s">
        <v>114</v>
      </c>
      <c r="D155" s="12" t="s">
        <v>8</v>
      </c>
      <c r="E155" s="7">
        <v>0.075</v>
      </c>
    </row>
    <row r="156" ht="25.5" customHeight="1">
      <c r="A156" s="7" t="s">
        <v>241</v>
      </c>
      <c r="B156" s="10" t="s">
        <v>5</v>
      </c>
      <c r="C156" s="7" t="s">
        <v>242</v>
      </c>
      <c r="D156" s="12" t="s">
        <v>8</v>
      </c>
      <c r="E156" s="7">
        <v>0.1</v>
      </c>
    </row>
    <row r="157" ht="25.5" customHeight="1">
      <c r="A157" s="7"/>
      <c r="B157" s="10"/>
      <c r="C157" s="7" t="s">
        <v>245</v>
      </c>
      <c r="D157" s="12" t="s">
        <v>8</v>
      </c>
      <c r="E157" s="7">
        <v>0.2</v>
      </c>
    </row>
    <row r="158" ht="25.5" customHeight="1">
      <c r="A158" s="7"/>
      <c r="B158" s="10"/>
      <c r="C158" s="7" t="s">
        <v>246</v>
      </c>
      <c r="D158" s="12" t="s">
        <v>8</v>
      </c>
      <c r="E158" s="7">
        <v>0.1</v>
      </c>
    </row>
    <row r="159" ht="25.5" customHeight="1">
      <c r="A159" s="7"/>
      <c r="B159" s="10"/>
      <c r="C159" s="7" t="s">
        <v>247</v>
      </c>
      <c r="D159" s="12" t="s">
        <v>248</v>
      </c>
      <c r="E159" s="7">
        <v>2.0</v>
      </c>
    </row>
    <row r="160" ht="25.5" customHeight="1">
      <c r="A160" s="7"/>
      <c r="B160" s="10"/>
      <c r="C160" s="7" t="s">
        <v>249</v>
      </c>
      <c r="D160" s="12" t="s">
        <v>248</v>
      </c>
      <c r="E160" s="7">
        <v>2.0</v>
      </c>
    </row>
    <row r="161" ht="25.5" customHeight="1">
      <c r="A161" s="7"/>
      <c r="B161" s="10"/>
      <c r="C161" s="7" t="s">
        <v>251</v>
      </c>
      <c r="D161" s="12" t="s">
        <v>248</v>
      </c>
      <c r="E161" s="7">
        <v>1.0</v>
      </c>
    </row>
    <row r="162" ht="25.5" customHeight="1">
      <c r="A162" s="7"/>
      <c r="B162" s="10"/>
      <c r="C162" s="7" t="s">
        <v>252</v>
      </c>
      <c r="D162" s="12" t="s">
        <v>248</v>
      </c>
      <c r="E162" s="7">
        <v>1.0</v>
      </c>
    </row>
    <row r="163" ht="25.5" customHeight="1">
      <c r="A163" s="7"/>
      <c r="B163" s="10"/>
      <c r="C163" s="7" t="s">
        <v>255</v>
      </c>
      <c r="D163" s="12" t="s">
        <v>248</v>
      </c>
      <c r="E163" s="7">
        <v>2.0</v>
      </c>
    </row>
    <row r="164" ht="25.5" customHeight="1">
      <c r="A164" s="7" t="s">
        <v>257</v>
      </c>
      <c r="B164" s="10" t="s">
        <v>258</v>
      </c>
      <c r="C164" s="12" t="s">
        <v>25</v>
      </c>
      <c r="D164" s="12" t="s">
        <v>8</v>
      </c>
      <c r="E164" s="7">
        <v>0.4</v>
      </c>
    </row>
    <row r="165" ht="25.5" customHeight="1">
      <c r="A165" s="7"/>
      <c r="B165" s="10"/>
      <c r="C165" s="12" t="s">
        <v>63</v>
      </c>
      <c r="D165" s="12" t="s">
        <v>64</v>
      </c>
      <c r="E165" s="7">
        <v>1.0</v>
      </c>
    </row>
    <row r="166" ht="25.5" customHeight="1">
      <c r="A166" s="7"/>
      <c r="B166" s="10"/>
      <c r="C166" s="12" t="s">
        <v>68</v>
      </c>
      <c r="D166" s="12" t="s">
        <v>8</v>
      </c>
      <c r="E166" s="7">
        <v>0.2</v>
      </c>
    </row>
    <row r="167" ht="25.5" customHeight="1">
      <c r="A167" s="7"/>
      <c r="B167" s="10"/>
      <c r="C167" s="7" t="s">
        <v>16</v>
      </c>
      <c r="D167" s="12" t="s">
        <v>8</v>
      </c>
      <c r="E167" s="7">
        <v>0.15</v>
      </c>
    </row>
    <row r="168" ht="25.5" customHeight="1">
      <c r="A168" s="7"/>
      <c r="B168" s="10"/>
      <c r="C168" s="7" t="s">
        <v>18</v>
      </c>
      <c r="D168" s="12" t="s">
        <v>8</v>
      </c>
      <c r="E168" s="7">
        <v>0.2</v>
      </c>
    </row>
    <row r="169" ht="25.5" customHeight="1">
      <c r="A169" s="7"/>
      <c r="B169" s="10"/>
      <c r="C169" s="7" t="s">
        <v>20</v>
      </c>
      <c r="D169" s="12" t="s">
        <v>8</v>
      </c>
      <c r="E169" s="7">
        <v>0.2</v>
      </c>
    </row>
    <row r="170" ht="25.5" customHeight="1">
      <c r="A170" s="7"/>
      <c r="B170" s="10"/>
      <c r="C170" s="12" t="s">
        <v>226</v>
      </c>
      <c r="D170" s="12" t="s">
        <v>112</v>
      </c>
      <c r="E170" s="7">
        <v>2.0</v>
      </c>
    </row>
    <row r="171" ht="25.5" customHeight="1">
      <c r="A171" s="7"/>
      <c r="B171" s="10"/>
      <c r="C171" s="12" t="s">
        <v>263</v>
      </c>
      <c r="D171" s="12" t="s">
        <v>264</v>
      </c>
      <c r="E171" s="7">
        <v>1.0</v>
      </c>
    </row>
    <row r="172" ht="25.5" customHeight="1">
      <c r="A172" s="7"/>
      <c r="B172" s="10"/>
      <c r="C172" s="12" t="s">
        <v>265</v>
      </c>
      <c r="D172" s="12" t="s">
        <v>8</v>
      </c>
      <c r="E172" s="7">
        <v>0.1</v>
      </c>
    </row>
    <row r="173" ht="25.5" customHeight="1">
      <c r="A173" s="7"/>
      <c r="B173" s="10"/>
      <c r="C173" s="12" t="s">
        <v>266</v>
      </c>
      <c r="D173" s="12"/>
      <c r="E173" s="7">
        <v>0.5</v>
      </c>
    </row>
    <row r="174" ht="25.5" customHeight="1">
      <c r="A174" s="132"/>
      <c r="B174" s="133"/>
      <c r="C174" s="12" t="s">
        <v>268</v>
      </c>
      <c r="D174" s="12" t="s">
        <v>270</v>
      </c>
      <c r="E174" s="7">
        <v>2.0</v>
      </c>
    </row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